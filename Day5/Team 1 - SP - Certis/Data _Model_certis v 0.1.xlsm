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mc:AlternateContent xmlns:mc="http://schemas.openxmlformats.org/markup-compatibility/2006">
    <mc:Choice Requires="x15">
      <x15ac:absPath xmlns:x15ac="http://schemas.microsoft.com/office/spreadsheetml/2010/11/ac" url="C:\Users\jpore\Dropbox\Pentaho Partner Workshop\Pentaho Implementation Program - SP\Day 5\Team 1 - SP - Certis\"/>
    </mc:Choice>
  </mc:AlternateContent>
  <bookViews>
    <workbookView xWindow="0" yWindow="0" windowWidth="28800" windowHeight="12210" tabRatio="634" firstSheet="1" activeTab="4"/>
  </bookViews>
  <sheets>
    <sheet name="Home" sheetId="155" r:id="rId1"/>
    <sheet name="1_factModel" sheetId="175" r:id="rId2"/>
    <sheet name="ReadMe" sheetId="106" r:id="rId3"/>
    <sheet name="Change Log" sheetId="104" r:id="rId4"/>
    <sheet name="dim_customer" sheetId="153" r:id="rId5"/>
    <sheet name="dim_date" sheetId="161" r:id="rId6"/>
    <sheet name="dim_lens" sheetId="169" r:id="rId7"/>
    <sheet name="dim_store" sheetId="170" r:id="rId8"/>
    <sheet name="fact_sales" sheetId="154" r:id="rId9"/>
  </sheets>
  <definedNames>
    <definedName name="Date">Home!$C$4</definedName>
    <definedName name="DtbDescription">Home!$C$6</definedName>
    <definedName name="DtbName">Home!$C$5</definedName>
    <definedName name="GenFK">Home!$C$8</definedName>
    <definedName name="_xlnm.Print_Area" localSheetId="2">ReadMe!$A$1:$F$43</definedName>
    <definedName name="Version">Home!$C$7</definedName>
    <definedName name="ViewSchema">Home!$C$9</definedName>
  </definedNames>
  <calcPr calcId="171027"/>
</workbook>
</file>

<file path=xl/calcChain.xml><?xml version="1.0" encoding="utf-8"?>
<calcChain xmlns="http://schemas.openxmlformats.org/spreadsheetml/2006/main">
  <c r="C4" i="155" l="1"/>
</calcChain>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<sst xmlns="http://schemas.openxmlformats.org/spreadsheetml/2006/main" count="872" uniqueCount="286">
  <si>
    <t>Person</t>
  </si>
  <si>
    <t>Standard SCD-2</t>
  </si>
  <si>
    <t>Unknown Member</t>
  </si>
  <si>
    <t>N/A</t>
  </si>
  <si>
    <t>1, 2, 3…</t>
  </si>
  <si>
    <t>Date</t>
  </si>
  <si>
    <t>Gen FKs?:</t>
  </si>
  <si>
    <t>1, 2, 3</t>
  </si>
  <si>
    <t>Table Type</t>
  </si>
  <si>
    <t>Dimension</t>
  </si>
  <si>
    <t>Table Name</t>
  </si>
  <si>
    <t>Column Name</t>
  </si>
  <si>
    <t>Key?</t>
  </si>
  <si>
    <t>NULL?</t>
  </si>
  <si>
    <t>int</t>
  </si>
  <si>
    <t>N</t>
  </si>
  <si>
    <t>Size</t>
  </si>
  <si>
    <t>Description</t>
  </si>
  <si>
    <t>Fact</t>
  </si>
  <si>
    <t>Target</t>
  </si>
  <si>
    <t>Source</t>
  </si>
  <si>
    <t>Example Values</t>
  </si>
  <si>
    <t>Datatype</t>
  </si>
  <si>
    <t>Precision</t>
  </si>
  <si>
    <t>Comments</t>
  </si>
  <si>
    <t>FK To</t>
  </si>
  <si>
    <t>Default Value</t>
  </si>
  <si>
    <t>SCD  Type</t>
  </si>
  <si>
    <t>n/a</t>
  </si>
  <si>
    <t>Derived</t>
  </si>
  <si>
    <t>datetime</t>
  </si>
  <si>
    <t>Why did the row change last?</t>
  </si>
  <si>
    <t>FK</t>
  </si>
  <si>
    <t>Source Datatype</t>
  </si>
  <si>
    <t>Database:</t>
  </si>
  <si>
    <t>Date:</t>
  </si>
  <si>
    <t>Version:</t>
  </si>
  <si>
    <t>ETL Rules</t>
  </si>
  <si>
    <t>Y</t>
  </si>
  <si>
    <t>Source System</t>
  </si>
  <si>
    <t>Source Schema</t>
  </si>
  <si>
    <t>Source Table</t>
  </si>
  <si>
    <t>Source Field Name</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</si>
  <si>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</si>
  <si>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</si>
  <si>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</si>
  <si>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</si>
  <si>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</si>
  <si>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</si>
  <si>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Description:</t>
  </si>
  <si>
    <t>Business key from source system (aka natural key)</t>
  </si>
  <si>
    <t>Database Schema</t>
  </si>
  <si>
    <t>Table Description</t>
  </si>
  <si>
    <t>Generate Script?</t>
  </si>
  <si>
    <t>Version #</t>
  </si>
  <si>
    <t>Display Folder</t>
  </si>
  <si>
    <t>Comment</t>
  </si>
  <si>
    <t>Biz Filter Logic</t>
  </si>
  <si>
    <t xml:space="preserve"> </t>
  </si>
  <si>
    <t>Exclude from cube</t>
  </si>
  <si>
    <t>Dimensional Modeling Workbook</t>
  </si>
  <si>
    <t>key</t>
  </si>
  <si>
    <t>Schema for Views:</t>
  </si>
  <si>
    <t>Cust_ID</t>
  </si>
  <si>
    <t>Customer Name</t>
  </si>
  <si>
    <t>Full name of the customer (first name, last name)</t>
  </si>
  <si>
    <t>Country</t>
  </si>
  <si>
    <t>Excel</t>
  </si>
  <si>
    <t>Sales</t>
  </si>
  <si>
    <t>Key to Customer dimension</t>
  </si>
  <si>
    <t>fSales</t>
  </si>
  <si>
    <t>sCustomer</t>
  </si>
  <si>
    <t>STAGING</t>
  </si>
  <si>
    <t>Sales amount in $</t>
  </si>
  <si>
    <t>Key to Date dimension</t>
  </si>
  <si>
    <t>PDI</t>
  </si>
  <si>
    <t>100-</t>
  </si>
  <si>
    <t>Date dimension</t>
  </si>
  <si>
    <t>Month</t>
  </si>
  <si>
    <t>Year</t>
  </si>
  <si>
    <t>1,2,3,4</t>
  </si>
  <si>
    <t>Jan Aertsen</t>
  </si>
  <si>
    <t>1, 2, 3,</t>
  </si>
  <si>
    <t>Key to Store dimension</t>
  </si>
  <si>
    <t>sStore</t>
  </si>
  <si>
    <t>Stor_ID</t>
  </si>
  <si>
    <t>Key to Lens dimension</t>
  </si>
  <si>
    <t>sLens</t>
  </si>
  <si>
    <t>Lens_ID</t>
  </si>
  <si>
    <t>Lens dimension</t>
  </si>
  <si>
    <t>Store dimension</t>
  </si>
  <si>
    <t>MM/JO</t>
  </si>
  <si>
    <t>Created v1 with a lot of blood sweat and tears</t>
  </si>
  <si>
    <t>4) See the ReadMe sheet for additional information</t>
  </si>
  <si>
    <t>SLS_DMA</t>
  </si>
  <si>
    <t>DWH design for Second Hand Lens Inc.</t>
  </si>
  <si>
    <t>dim_customer</t>
  </si>
  <si>
    <t>Customer Dimension</t>
  </si>
  <si>
    <t>customer_tk</t>
  </si>
  <si>
    <t>technical primary key for Customer dimension</t>
  </si>
  <si>
    <t>Include in cube</t>
  </si>
  <si>
    <t>customer_id</t>
  </si>
  <si>
    <t>ID from sls_raw.customer</t>
  </si>
  <si>
    <t>TK created from sls_raw.customer</t>
  </si>
  <si>
    <t>Customer ID is natural key</t>
  </si>
  <si>
    <t>PK TK</t>
  </si>
  <si>
    <t>customer_name</t>
  </si>
  <si>
    <t>last_name</t>
  </si>
  <si>
    <t>Surname of Customer (last name)</t>
  </si>
  <si>
    <t>Aertsen</t>
  </si>
  <si>
    <t>varchar</t>
  </si>
  <si>
    <t>first_name</t>
  </si>
  <si>
    <t>Surname</t>
  </si>
  <si>
    <t>First Name</t>
  </si>
  <si>
    <t>First name of Customer</t>
  </si>
  <si>
    <t>Jan</t>
  </si>
  <si>
    <t>Property of Customer Name</t>
  </si>
  <si>
    <t>address</t>
  </si>
  <si>
    <t>Address</t>
  </si>
  <si>
    <t>Customer Address</t>
  </si>
  <si>
    <t>23 Cherry Roard</t>
  </si>
  <si>
    <t>country</t>
  </si>
  <si>
    <t>Customer Country (country)</t>
  </si>
  <si>
    <t>USA, UK</t>
  </si>
  <si>
    <t>city</t>
  </si>
  <si>
    <t>City</t>
  </si>
  <si>
    <t>Customer City (city)</t>
  </si>
  <si>
    <t>Denver</t>
  </si>
  <si>
    <t>version</t>
  </si>
  <si>
    <t>row version</t>
  </si>
  <si>
    <t>1,2,3</t>
  </si>
  <si>
    <t>date_from</t>
  </si>
  <si>
    <t>date_to</t>
  </si>
  <si>
    <t>12/31/2199</t>
  </si>
  <si>
    <t>last_updated</t>
  </si>
  <si>
    <t>When was this row inserted?</t>
  </si>
  <si>
    <t>When was this row inserted / updated?</t>
  </si>
  <si>
    <t>sls_dma</t>
  </si>
  <si>
    <t>sls_raw</t>
  </si>
  <si>
    <t>customer</t>
  </si>
  <si>
    <t>tinytext</t>
  </si>
  <si>
    <t>dim_date</t>
  </si>
  <si>
    <t>dim_lens</t>
  </si>
  <si>
    <t>dim_store</t>
  </si>
  <si>
    <t>fact_sales</t>
  </si>
  <si>
    <t>store_tk</t>
  </si>
  <si>
    <t>store_id</t>
  </si>
  <si>
    <t>Technical primary key for Store dimension</t>
  </si>
  <si>
    <t>Key lookup from sls_dma.customer_id</t>
  </si>
  <si>
    <t>dim_date.date_tk</t>
  </si>
  <si>
    <t>Sales Fact</t>
  </si>
  <si>
    <t>dim_customer.customer_tk</t>
  </si>
  <si>
    <t>dim_store.store_tk</t>
  </si>
  <si>
    <t>dim_lens.lens_tk</t>
  </si>
  <si>
    <t>date_tk</t>
  </si>
  <si>
    <t>lens_tk</t>
  </si>
  <si>
    <t>store_name</t>
  </si>
  <si>
    <t>store_country</t>
  </si>
  <si>
    <t>store_city</t>
  </si>
  <si>
    <t>Store Name</t>
  </si>
  <si>
    <t>Store Country</t>
  </si>
  <si>
    <t>Store City</t>
  </si>
  <si>
    <t>Name of stores in various regions</t>
  </si>
  <si>
    <t>Country where the store is located</t>
  </si>
  <si>
    <t>City where the store is located</t>
  </si>
  <si>
    <t>Chelsea Photos</t>
  </si>
  <si>
    <t>Bristol</t>
  </si>
  <si>
    <t>Standard SCD-1</t>
  </si>
  <si>
    <t>TK created from sls_raw.store</t>
  </si>
  <si>
    <t>ID from sls_raw.store</t>
  </si>
  <si>
    <t>store</t>
  </si>
  <si>
    <t>Technical primary key</t>
  </si>
  <si>
    <t>Quarter</t>
  </si>
  <si>
    <t>year</t>
  </si>
  <si>
    <t>quarter</t>
  </si>
  <si>
    <t>month</t>
  </si>
  <si>
    <t>month_long</t>
  </si>
  <si>
    <t>date</t>
  </si>
  <si>
    <t>Month Long</t>
  </si>
  <si>
    <t>TK created from parsing date</t>
  </si>
  <si>
    <t>MJV step to parse date</t>
  </si>
  <si>
    <t>Year (2017) of date</t>
  </si>
  <si>
    <t>Quarter (1-3) of date</t>
  </si>
  <si>
    <t>Month (1-12) of date</t>
  </si>
  <si>
    <t>extracted from date</t>
  </si>
  <si>
    <t>KTR has start_date &amp; end_date variables</t>
  </si>
  <si>
    <t>variables set for just 2017</t>
  </si>
  <si>
    <t>week_of_year</t>
  </si>
  <si>
    <t>STORE</t>
  </si>
  <si>
    <t>day_of_year</t>
  </si>
  <si>
    <t>day_of_month</t>
  </si>
  <si>
    <t>day_of_week</t>
  </si>
  <si>
    <t>day_of_week_long</t>
  </si>
  <si>
    <t>Week of Year</t>
  </si>
  <si>
    <t>Day of Year</t>
  </si>
  <si>
    <t>Day of Month</t>
  </si>
  <si>
    <t>Day of Week</t>
  </si>
  <si>
    <t>Day Long</t>
  </si>
  <si>
    <t>not used in schema</t>
  </si>
  <si>
    <t>June</t>
  </si>
  <si>
    <t>Week of Year (1-52) of date</t>
  </si>
  <si>
    <t>extracted from month</t>
  </si>
  <si>
    <t>TIME</t>
  </si>
  <si>
    <t>Day  of Year (1-365) of date</t>
  </si>
  <si>
    <t>Transaction start_date (dd/MM/yyyy)</t>
  </si>
  <si>
    <t>Day of Month of date</t>
  </si>
  <si>
    <t>Day of Week (1-7) of date</t>
  </si>
  <si>
    <t>Monday</t>
  </si>
  <si>
    <t>Value Mapper step</t>
  </si>
  <si>
    <t>lens_id</t>
  </si>
  <si>
    <t>Technical primary key for Lens dimension</t>
  </si>
  <si>
    <t>Include in FACT table</t>
  </si>
  <si>
    <t>CUSTOMER.Customer Name.Surname</t>
  </si>
  <si>
    <t>CUSTOMER.Customer Name. First Name</t>
  </si>
  <si>
    <t>CUSTOMER.Customer Name.Address</t>
  </si>
  <si>
    <t>Conformed Dimension</t>
  </si>
  <si>
    <t>lens_name</t>
  </si>
  <si>
    <t>Lens Name</t>
  </si>
  <si>
    <t>Focusing distance min</t>
  </si>
  <si>
    <t>Focal length min</t>
  </si>
  <si>
    <t>Focal length max</t>
  </si>
  <si>
    <t>Apperture min</t>
  </si>
  <si>
    <t>Apperture max</t>
  </si>
  <si>
    <t>Filter size</t>
  </si>
  <si>
    <t>fmin</t>
  </si>
  <si>
    <t>fmax</t>
  </si>
  <si>
    <t>amin</t>
  </si>
  <si>
    <t>amax</t>
  </si>
  <si>
    <t>focusmin</t>
  </si>
  <si>
    <t>filter</t>
  </si>
  <si>
    <t>lens_category_id</t>
  </si>
  <si>
    <t>lens_category</t>
  </si>
  <si>
    <t>Category</t>
  </si>
  <si>
    <t>Lens name</t>
  </si>
  <si>
    <t>Accura Diamatic 135mm f/2.8</t>
  </si>
  <si>
    <t>Lens focal length min</t>
  </si>
  <si>
    <t>Lens focal length max</t>
  </si>
  <si>
    <t>init</t>
  </si>
  <si>
    <t>ID</t>
  </si>
  <si>
    <t>Property of Lens name</t>
  </si>
  <si>
    <t>TK created from sls_raw.lens</t>
  </si>
  <si>
    <t>ID from sls_raw.lens</t>
  </si>
  <si>
    <t>Lens ID is natural key</t>
  </si>
  <si>
    <t>Macro</t>
  </si>
  <si>
    <t>Lens category</t>
  </si>
  <si>
    <t>Left Join  to Lens table on Category</t>
  </si>
  <si>
    <t>name as lens_name</t>
  </si>
  <si>
    <t>1,2,3…</t>
  </si>
  <si>
    <t>Analyzer Dimension.Hierarchy.Level</t>
  </si>
  <si>
    <t>Analyzer Dimension.Hiearchy.Level</t>
  </si>
  <si>
    <t>CUSTOMER.Customer.Country</t>
  </si>
  <si>
    <t>CUSTOMER.Customer.City</t>
  </si>
  <si>
    <t>CUSTOMER.Customer.Customer name</t>
  </si>
  <si>
    <t>LENS.Lens.Lens name</t>
  </si>
  <si>
    <t>LENS.Lens.Lens name. Focal length min</t>
  </si>
  <si>
    <t>LENS.Lens.Lens name. Focal length max</t>
  </si>
  <si>
    <t>LENS.Lens.Lens name.Focusing distance min</t>
  </si>
  <si>
    <t>Lens.Lens.Lens name.Apperture min</t>
  </si>
  <si>
    <t>LENS.Lens.Lens name. Apperture max</t>
  </si>
  <si>
    <t>Lens.Lens.Lens name.Filter size</t>
  </si>
  <si>
    <t>1,2..</t>
  </si>
  <si>
    <t>1,2…</t>
  </si>
  <si>
    <t>double</t>
  </si>
  <si>
    <t>lens</t>
  </si>
  <si>
    <t>category</t>
  </si>
  <si>
    <t>name</t>
  </si>
  <si>
    <t>Filter</t>
  </si>
  <si>
    <t>FocusMin</t>
  </si>
  <si>
    <t>Key lookup from sls_dma.store_id</t>
  </si>
  <si>
    <t>Key lookup from sls_dma.lens_id</t>
  </si>
  <si>
    <t>Key lookup from sls_dma.date_tk</t>
  </si>
  <si>
    <t>sales_fact</t>
  </si>
  <si>
    <t>sales</t>
  </si>
  <si>
    <t>Total Sales</t>
  </si>
  <si>
    <t>Analyzer Dimension.Hierachy.Level</t>
  </si>
  <si>
    <t>TIME.Time.Year</t>
  </si>
  <si>
    <t>TIME.Time.Quarter</t>
  </si>
  <si>
    <t>TIME.Time.Month</t>
  </si>
  <si>
    <t>TIME.Time.Month Long</t>
  </si>
  <si>
    <t>TIME.Time.Week of Year</t>
  </si>
  <si>
    <t>TIME.Time.Day of Week</t>
  </si>
  <si>
    <t>TIME.Time.Day Long</t>
  </si>
  <si>
    <t>sales_channel</t>
  </si>
  <si>
    <t>Sales Channel</t>
  </si>
  <si>
    <t>CHANNEL.Channel.Sales Channel</t>
  </si>
  <si>
    <t>Degenerate Dimension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</si>
</sst>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Open Sans"/>
      <family val="2"/>
    </font>
    <font>
      <sz val="12"/>
      <name val="Open Sans"/>
      <family val="2"/>
    </font>
    <font>
      <sz val="14"/>
      <name val="Open Sans Semibold"/>
      <family val="2"/>
    </font>
    <font>
      <sz val="10"/>
      <name val="Open Sans Semibold"/>
      <family val="2"/>
    </font>
    <font>
      <b/>
      <sz val="10"/>
      <name val="Open Sans Semibold"/>
      <family val="2"/>
    </font>
    <font>
      <sz val="10"/>
      <color rgb="FFC00000"/>
      <name val="Open Sans Semibold"/>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0"/>
        <bgColor indexed="64"/>
      </patternFill>
    </fill>
  </fills>
  <borders count="1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79">
    <xf numFmtId="0" fontId="0" fillId="0" borderId="0" xfId="0"/>
    <xf numFmtId="0" fontId="0" fillId="0" borderId="0" xfId="0" applyAlignment="1">
      <alignment vertical="top"/>
    </xf>
    <xf numFmtId="0" fontId="6" fillId="0" borderId="0" xfId="0" applyFont="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14" fontId="0" fillId="0" borderId="10" xfId="0" applyNumberFormat="1" applyBorder="1" applyAlignment="1">
      <alignment vertical="top"/>
    </xf>
    <xf numFmtId="0" fontId="0" fillId="0" borderId="10" xfId="0" applyBorder="1" applyAlignment="1">
      <alignment vertical="top"/>
    </xf>
    <xf numFmtId="0" fontId="1" fillId="0" borderId="0" xfId="0" applyFont="1" applyBorder="1" applyAlignment="1">
      <alignment horizontal="left"/>
    </xf>
    <xf numFmtId="0" fontId="4" fillId="0" borderId="0" xfId="44" applyFont="1"/>
    <xf numFmtId="0" fontId="1" fillId="0" borderId="0" xfId="44"/>
    <xf numFmtId="0" fontId="1" fillId="0" borderId="0" xfId="44" applyFont="1"/>
    <xf numFmtId="0" fontId="3" fillId="0" borderId="13" xfId="0" applyFont="1" applyFill="1" applyBorder="1" applyAlignment="1">
      <alignment vertical="top"/>
    </xf>
    <xf numFmtId="0" fontId="3" fillId="0" borderId="13" xfId="0" applyFont="1" applyFill="1" applyBorder="1" applyAlignment="1">
      <alignment vertical="top" wrapText="1"/>
    </xf>
    <xf numFmtId="0" fontId="1" fillId="0" borderId="10" xfId="0" applyFont="1" applyBorder="1" applyAlignment="1">
      <alignment vertical="top" wrapText="1"/>
    </xf>
    <xf numFmtId="165" fontId="0" fillId="0" borderId="10" xfId="0" applyNumberFormat="1" applyBorder="1" applyAlignment="1">
      <alignment vertical="top"/>
    </xf>
    <xf numFmtId="0" fontId="1" fillId="0" borderId="10" xfId="0" applyFont="1" applyBorder="1" applyAlignment="1">
      <alignment vertical="top"/>
    </xf>
    <xf numFmtId="0" fontId="24" fillId="0" borderId="0" xfId="0" applyFont="1" applyBorder="1" applyAlignment="1"/>
    <xf numFmtId="0" fontId="24" fillId="0" borderId="0" xfId="0" applyFont="1" applyFill="1" applyBorder="1" applyAlignment="1">
      <alignment horizontal="left"/>
    </xf>
    <xf numFmtId="0" fontId="24" fillId="0" borderId="0" xfId="0" applyFont="1" applyBorder="1" applyAlignment="1">
      <alignment wrapText="1"/>
    </xf>
    <xf numFmtId="0" fontId="24" fillId="0" borderId="0" xfId="0" applyFont="1" applyBorder="1" applyAlignment="1">
      <alignment horizontal="left"/>
    </xf>
    <xf numFmtId="0" fontId="24" fillId="0" borderId="0" xfId="0" applyFont="1" applyBorder="1" applyAlignment="1">
      <alignment horizontal="left" wrapText="1"/>
    </xf>
    <xf numFmtId="0" fontId="24" fillId="20" borderId="0" xfId="0" applyFont="1" applyFill="1" applyBorder="1" applyAlignment="1"/>
    <xf numFmtId="0" fontId="24" fillId="0" borderId="0" xfId="0" applyFont="1" applyFill="1" applyBorder="1" applyAlignment="1"/>
    <xf numFmtId="0" fontId="24" fillId="0" borderId="0" xfId="0" applyFont="1" applyBorder="1" applyAlignment="1">
      <alignment horizontal="left" vertical="top" wrapText="1"/>
    </xf>
    <xf numFmtId="0" fontId="24" fillId="0" borderId="0" xfId="0" applyFont="1" applyBorder="1" applyAlignment="1">
      <alignment horizontal="left" vertical="top"/>
    </xf>
    <xf numFmtId="0" fontId="24" fillId="22" borderId="12" xfId="0" applyFont="1" applyFill="1" applyBorder="1" applyAlignment="1">
      <alignment horizontal="left" vertical="top"/>
    </xf>
    <xf numFmtId="0" fontId="24" fillId="22" borderId="0" xfId="0" applyFont="1" applyFill="1" applyBorder="1" applyAlignment="1">
      <alignment horizontal="left" vertical="top"/>
    </xf>
    <xf numFmtId="0" fontId="24" fillId="22" borderId="11" xfId="0" applyFont="1" applyFill="1" applyBorder="1" applyAlignment="1">
      <alignment horizontal="left" vertical="top"/>
    </xf>
    <xf numFmtId="0" fontId="24" fillId="22" borderId="12" xfId="0" applyFont="1" applyFill="1" applyBorder="1" applyAlignment="1">
      <alignment horizontal="left" vertical="top" wrapText="1"/>
    </xf>
    <xf numFmtId="0" fontId="24" fillId="22" borderId="0" xfId="0" applyFont="1" applyFill="1" applyBorder="1" applyAlignment="1">
      <alignment horizontal="left" vertical="top" wrapText="1"/>
    </xf>
    <xf numFmtId="0" fontId="24" fillId="22" borderId="11" xfId="0" applyFont="1" applyFill="1" applyBorder="1" applyAlignment="1">
      <alignment horizontal="left" vertical="top" wrapText="1"/>
    </xf>
    <xf numFmtId="14" fontId="24" fillId="0" borderId="0" xfId="0" applyNumberFormat="1" applyFont="1" applyBorder="1" applyAlignment="1">
      <alignment horizontal="left" vertical="top"/>
    </xf>
    <xf numFmtId="14" fontId="24" fillId="0" borderId="0" xfId="0" applyNumberFormat="1" applyFont="1" applyBorder="1" applyAlignment="1">
      <alignment horizontal="left" vertical="top" wrapText="1"/>
    </xf>
    <xf numFmtId="14" fontId="24" fillId="22" borderId="11" xfId="0" applyNumberFormat="1" applyFont="1" applyFill="1" applyBorder="1" applyAlignment="1">
      <alignment horizontal="left" vertical="top"/>
    </xf>
    <xf numFmtId="0" fontId="24" fillId="22" borderId="0" xfId="0" quotePrefix="1" applyFont="1" applyFill="1" applyBorder="1" applyAlignment="1">
      <alignment horizontal="left" vertical="top" wrapText="1"/>
    </xf>
    <xf numFmtId="0" fontId="26" fillId="0" borderId="0" xfId="44" applyFont="1"/>
    <xf numFmtId="0" fontId="25" fillId="0" borderId="0" xfId="44" applyFont="1"/>
    <xf numFmtId="164" fontId="25" fillId="21" borderId="0" xfId="44" applyNumberFormat="1" applyFont="1" applyFill="1" applyAlignment="1">
      <alignment horizontal="left"/>
    </xf>
    <xf numFmtId="0" fontId="25" fillId="0" borderId="0" xfId="44" applyFont="1" applyAlignment="1">
      <alignment vertical="top"/>
    </xf>
    <xf numFmtId="164" fontId="25" fillId="21" borderId="0" xfId="44" applyNumberFormat="1" applyFont="1" applyFill="1" applyAlignment="1">
      <alignment vertical="top" wrapText="1"/>
    </xf>
    <xf numFmtId="2" fontId="25" fillId="21" borderId="0" xfId="44" applyNumberFormat="1" applyFont="1" applyFill="1" applyAlignment="1">
      <alignment horizontal="left"/>
    </xf>
    <xf numFmtId="0" fontId="27" fillId="23" borderId="0" xfId="0" applyFont="1" applyFill="1" applyBorder="1" applyAlignment="1">
      <alignment horizontal="center" vertical="top"/>
    </xf>
    <xf numFmtId="0" fontId="27" fillId="23" borderId="0" xfId="0" applyFont="1" applyFill="1" applyBorder="1" applyAlignment="1">
      <alignment horizontal="center" vertical="top" wrapText="1"/>
    </xf>
    <xf numFmtId="0" fontId="28" fillId="23" borderId="0" xfId="0" applyFont="1" applyFill="1" applyBorder="1" applyAlignment="1">
      <alignment vertical="top" wrapText="1"/>
    </xf>
    <xf numFmtId="0" fontId="27" fillId="23" borderId="12" xfId="0" applyFont="1" applyFill="1" applyBorder="1" applyAlignment="1">
      <alignment horizontal="center" vertical="top"/>
    </xf>
    <xf numFmtId="0" fontId="27" fillId="23" borderId="11" xfId="0" applyFont="1" applyFill="1" applyBorder="1" applyAlignment="1">
      <alignment horizontal="center" vertical="top" wrapText="1"/>
    </xf>
    <xf numFmtId="0" fontId="27" fillId="23" borderId="12" xfId="0" applyFont="1" applyFill="1" applyBorder="1" applyAlignment="1">
      <alignment horizontal="center" vertical="top" wrapText="1"/>
    </xf>
    <xf numFmtId="0" fontId="27" fillId="23" borderId="0" xfId="0" applyFont="1" applyFill="1" applyBorder="1" applyAlignment="1">
      <alignment vertical="top" wrapText="1"/>
    </xf>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7" fillId="23" borderId="0" xfId="0" applyFont="1" applyFill="1" applyBorder="1" applyAlignment="1"/>
    <xf numFmtId="0" fontId="27" fillId="23" borderId="0" xfId="0" applyFont="1" applyFill="1" applyBorder="1" applyAlignment="1">
      <alignment horizontal="left"/>
    </xf>
    <xf numFmtId="0" fontId="5" fillId="24" borderId="0" xfId="0" applyFont="1" applyFill="1"/>
    <xf numFmtId="0" fontId="1" fillId="24" borderId="0" xfId="0" applyFont="1" applyFill="1"/>
    <xf numFmtId="0" fontId="0" fillId="24" borderId="0" xfId="0" applyFill="1"/>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9" fillId="0" borderId="0" xfId="0" applyFont="1" applyBorder="1" applyAlignment="1">
      <alignment horizontal="left"/>
    </xf>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1"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8" fillId="23" borderId="12" xfId="0" applyFont="1" applyFill="1" applyBorder="1" applyAlignment="1">
      <alignment horizontal="center" vertical="top"/>
    </xf>
    <xf numFmtId="0" fontId="28" fillId="23" borderId="0" xfId="0" applyFont="1" applyFill="1" applyBorder="1" applyAlignment="1">
      <alignment horizontal="center" vertical="top"/>
    </xf>
    <xf numFmtId="0" fontId="28" fillId="23" borderId="11" xfId="0" applyFont="1" applyFill="1" applyBorder="1" applyAlignment="1">
      <alignment horizontal="center" vertical="top"/>
    </xf>
    <xf numFmtId="0" fontId="28" fillId="23" borderId="12" xfId="0" applyFont="1" applyFill="1" applyBorder="1" applyAlignment="1">
      <alignment horizontal="center" vertical="top" wrapText="1"/>
    </xf>
    <xf numFmtId="0" fontId="28" fillId="23" borderId="0" xfId="0" applyFont="1" applyFill="1" applyBorder="1" applyAlignment="1">
      <alignment horizontal="center" vertical="top" wrapText="1"/>
    </xf>
    <xf numFmtId="0" fontId="28" fillId="23" borderId="11"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_store'!A1"/><Relationship Id="rId2" Type="http://schemas.openxmlformats.org/officeDocument/2006/relationships/hyperlink" Target="#'dim_customer'!A1"/><Relationship Id="rId1" Type="http://schemas.openxmlformats.org/officeDocument/2006/relationships/hyperlink" Target="#'dim_date'!A1"/><Relationship Id="rId5" Type="http://schemas.openxmlformats.org/officeDocument/2006/relationships/hyperlink" Target="#'fact_sales'!A1"/><Relationship Id="rId4" Type="http://schemas.openxmlformats.org/officeDocument/2006/relationships/hyperlink" Target="#'dim_len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298450</xdr:colOff>
      <xdr:row>16</xdr:row>
      <xdr:rowOff>158750</xdr:rowOff>
    </xdr:from>
    <xdr:to>
      <xdr:col>10</xdr:col>
      <xdr:colOff>298450</xdr:colOff>
      <xdr:row>25</xdr:row>
      <xdr:rowOff>98425</xdr:rowOff>
    </xdr:to>
    <xdr:cxnSp macro="">
      <xdr:nvCxnSpPr>
        <xdr:cNvPr id="11" name="dim_dateLine">
          <a:extLst>
            <a:ext uri="{FF2B5EF4-FFF2-40B4-BE49-F238E27FC236}">
              <a16:creationId xmlns:a16="http://schemas.microsoft.com/office/drawing/2014/main" id="{E797F9FC-E305-4861-AA2B-6421DBE73055}"/>
            </a:ext>
          </a:extLst>
        </xdr:cNvPr>
        <xdr:cNvCxnSpPr/>
      </xdr:nvCxnSpPr>
      <xdr:spPr bwMode="auto">
        <a:xfrm flipV="1">
          <a:off x="6394450" y="274955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285750</xdr:colOff>
      <xdr:row>12</xdr:row>
      <xdr:rowOff>47625</xdr:rowOff>
    </xdr:from>
    <xdr:to>
      <xdr:col>11</xdr:col>
      <xdr:colOff>323850</xdr:colOff>
      <xdr:row>19</xdr:row>
      <xdr:rowOff>114300</xdr:rowOff>
    </xdr:to>
    <xdr:sp macro="" textlink="">
      <xdr:nvSpPr>
        <xdr:cNvPr id="12" name="dim_date">
          <a:hlinkClick xmlns:r="http://schemas.openxmlformats.org/officeDocument/2006/relationships" r:id="rId1"/>
          <a:extLst>
            <a:ext uri="{FF2B5EF4-FFF2-40B4-BE49-F238E27FC236}">
              <a16:creationId xmlns:a16="http://schemas.microsoft.com/office/drawing/2014/main" id="{81182ED5-3F1E-4D89-AEF2-ADE1D765A781}"/>
            </a:ext>
          </a:extLst>
        </xdr:cNvPr>
        <xdr:cNvSpPr/>
      </xdr:nvSpPr>
      <xdr:spPr bwMode="auto">
        <a:xfrm>
          <a:off x="5772150" y="1990725"/>
          <a:ext cx="1257300" cy="1200150"/>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0" i="0">
              <a:solidFill>
                <a:schemeClr val="bg1"/>
              </a:solidFill>
            </a:rPr>
            <a:t>dim_date</a:t>
          </a:r>
        </a:p>
      </xdr:txBody>
    </xdr:sp>
    <xdr:clientData/>
  </xdr:twoCellAnchor>
  <xdr:twoCellAnchor>
    <xdr:from>
      <xdr:col>10</xdr:col>
      <xdr:colOff>222250</xdr:colOff>
      <xdr:row>25</xdr:row>
      <xdr:rowOff>117475</xdr:rowOff>
    </xdr:from>
    <xdr:to>
      <xdr:col>12</xdr:col>
      <xdr:colOff>400050</xdr:colOff>
      <xdr:row>25</xdr:row>
      <xdr:rowOff>117475</xdr:rowOff>
    </xdr:to>
    <xdr:cxnSp macro="">
      <xdr:nvCxnSpPr>
        <xdr:cNvPr id="13" name="dim_customerLine">
          <a:extLst>
            <a:ext uri="{FF2B5EF4-FFF2-40B4-BE49-F238E27FC236}">
              <a16:creationId xmlns:a16="http://schemas.microsoft.com/office/drawing/2014/main" id="{021055B4-CCC5-4DA5-8141-B98F237E8FCC}"/>
            </a:ext>
          </a:extLst>
        </xdr:cNvPr>
        <xdr:cNvCxnSpPr/>
      </xdr:nvCxnSpPr>
      <xdr:spPr bwMode="auto">
        <a:xfrm>
          <a:off x="6318250" y="41656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12</xdr:col>
      <xdr:colOff>149224</xdr:colOff>
      <xdr:row>21</xdr:row>
      <xdr:rowOff>104775</xdr:rowOff>
    </xdr:from>
    <xdr:to>
      <xdr:col>14</xdr:col>
      <xdr:colOff>266699</xdr:colOff>
      <xdr:row>29</xdr:row>
      <xdr:rowOff>114300</xdr:rowOff>
    </xdr:to>
    <xdr:sp macro="" textlink="">
      <xdr:nvSpPr>
        <xdr:cNvPr id="14" name="dim_customer">
          <a:hlinkClick xmlns:r="http://schemas.openxmlformats.org/officeDocument/2006/relationships" r:id="rId2"/>
          <a:extLst>
            <a:ext uri="{FF2B5EF4-FFF2-40B4-BE49-F238E27FC236}">
              <a16:creationId xmlns:a16="http://schemas.microsoft.com/office/drawing/2014/main" id="{D96B887A-FCB4-4CDC-B4FC-DA9DF12435B2}"/>
            </a:ext>
          </a:extLst>
        </xdr:cNvPr>
        <xdr:cNvSpPr/>
      </xdr:nvSpPr>
      <xdr:spPr bwMode="auto">
        <a:xfrm>
          <a:off x="7464424" y="3505200"/>
          <a:ext cx="1336675" cy="1304925"/>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dim_customer</a:t>
          </a:r>
        </a:p>
      </xdr:txBody>
    </xdr:sp>
    <xdr:clientData/>
  </xdr:twoCellAnchor>
  <xdr:twoCellAnchor>
    <xdr:from>
      <xdr:col>10</xdr:col>
      <xdr:colOff>279400</xdr:colOff>
      <xdr:row>25</xdr:row>
      <xdr:rowOff>136525</xdr:rowOff>
    </xdr:from>
    <xdr:to>
      <xdr:col>10</xdr:col>
      <xdr:colOff>279400</xdr:colOff>
      <xdr:row>34</xdr:row>
      <xdr:rowOff>76200</xdr:rowOff>
    </xdr:to>
    <xdr:cxnSp macro="">
      <xdr:nvCxnSpPr>
        <xdr:cNvPr id="15" name="dim_storeLine">
          <a:extLst>
            <a:ext uri="{FF2B5EF4-FFF2-40B4-BE49-F238E27FC236}">
              <a16:creationId xmlns:a16="http://schemas.microsoft.com/office/drawing/2014/main" id="{63495FF6-85DE-4F23-B562-2A0361C71272}"/>
            </a:ext>
          </a:extLst>
        </xdr:cNvPr>
        <xdr:cNvCxnSpPr/>
      </xdr:nvCxnSpPr>
      <xdr:spPr bwMode="auto">
        <a:xfrm>
          <a:off x="6375400" y="418465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228600</xdr:colOff>
      <xdr:row>32</xdr:row>
      <xdr:rowOff>25399</xdr:rowOff>
    </xdr:from>
    <xdr:to>
      <xdr:col>11</xdr:col>
      <xdr:colOff>285750</xdr:colOff>
      <xdr:row>39</xdr:row>
      <xdr:rowOff>95250</xdr:rowOff>
    </xdr:to>
    <xdr:sp macro="" textlink="">
      <xdr:nvSpPr>
        <xdr:cNvPr id="16" name="dim_store">
          <a:hlinkClick xmlns:r="http://schemas.openxmlformats.org/officeDocument/2006/relationships" r:id="rId3"/>
          <a:extLst>
            <a:ext uri="{FF2B5EF4-FFF2-40B4-BE49-F238E27FC236}">
              <a16:creationId xmlns:a16="http://schemas.microsoft.com/office/drawing/2014/main" id="{25094118-BE3F-4B9F-8595-AF8F629571F2}"/>
            </a:ext>
          </a:extLst>
        </xdr:cNvPr>
        <xdr:cNvSpPr/>
      </xdr:nvSpPr>
      <xdr:spPr bwMode="auto">
        <a:xfrm>
          <a:off x="5715000" y="5206999"/>
          <a:ext cx="1276350" cy="1203326"/>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dim_store</a:t>
          </a:r>
        </a:p>
      </xdr:txBody>
    </xdr:sp>
    <xdr:clientData/>
  </xdr:twoCellAnchor>
  <xdr:twoCellAnchor>
    <xdr:from>
      <xdr:col>8</xdr:col>
      <xdr:colOff>44450</xdr:colOff>
      <xdr:row>25</xdr:row>
      <xdr:rowOff>117475</xdr:rowOff>
    </xdr:from>
    <xdr:to>
      <xdr:col>10</xdr:col>
      <xdr:colOff>222250</xdr:colOff>
      <xdr:row>25</xdr:row>
      <xdr:rowOff>117475</xdr:rowOff>
    </xdr:to>
    <xdr:cxnSp macro="">
      <xdr:nvCxnSpPr>
        <xdr:cNvPr id="17" name="dim_lensLine">
          <a:extLst>
            <a:ext uri="{FF2B5EF4-FFF2-40B4-BE49-F238E27FC236}">
              <a16:creationId xmlns:a16="http://schemas.microsoft.com/office/drawing/2014/main" id="{94474280-52F0-46C5-A45E-C7A62139F2A3}"/>
            </a:ext>
          </a:extLst>
        </xdr:cNvPr>
        <xdr:cNvCxnSpPr/>
      </xdr:nvCxnSpPr>
      <xdr:spPr bwMode="auto">
        <a:xfrm flipH="1">
          <a:off x="4921250" y="41656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266700</xdr:colOff>
      <xdr:row>21</xdr:row>
      <xdr:rowOff>85725</xdr:rowOff>
    </xdr:from>
    <xdr:to>
      <xdr:col>8</xdr:col>
      <xdr:colOff>295275</xdr:colOff>
      <xdr:row>29</xdr:row>
      <xdr:rowOff>76200</xdr:rowOff>
    </xdr:to>
    <xdr:sp macro="" textlink="">
      <xdr:nvSpPr>
        <xdr:cNvPr id="18" name="dim_lens">
          <a:hlinkClick xmlns:r="http://schemas.openxmlformats.org/officeDocument/2006/relationships" r:id="rId4"/>
          <a:extLst>
            <a:ext uri="{FF2B5EF4-FFF2-40B4-BE49-F238E27FC236}">
              <a16:creationId xmlns:a16="http://schemas.microsoft.com/office/drawing/2014/main" id="{F0B09024-A657-41CD-AEED-2EF716413729}"/>
            </a:ext>
          </a:extLst>
        </xdr:cNvPr>
        <xdr:cNvSpPr/>
      </xdr:nvSpPr>
      <xdr:spPr bwMode="auto">
        <a:xfrm>
          <a:off x="3924300" y="3486150"/>
          <a:ext cx="1247775" cy="1285875"/>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dim_lens</a:t>
          </a:r>
        </a:p>
      </xdr:txBody>
    </xdr:sp>
    <xdr:clientData/>
  </xdr:twoCellAnchor>
  <xdr:twoCellAnchor>
    <xdr:from>
      <xdr:col>9</xdr:col>
      <xdr:colOff>254000</xdr:colOff>
      <xdr:row>23</xdr:row>
      <xdr:rowOff>15875</xdr:rowOff>
    </xdr:from>
    <xdr:to>
      <xdr:col>11</xdr:col>
      <xdr:colOff>304800</xdr:colOff>
      <xdr:row>28</xdr:row>
      <xdr:rowOff>95250</xdr:rowOff>
    </xdr:to>
    <xdr:sp macro="" textlink="">
      <xdr:nvSpPr>
        <xdr:cNvPr id="19" name="fact_sales">
          <a:hlinkClick xmlns:r="http://schemas.openxmlformats.org/officeDocument/2006/relationships" r:id="rId5"/>
          <a:extLst>
            <a:ext uri="{FF2B5EF4-FFF2-40B4-BE49-F238E27FC236}">
              <a16:creationId xmlns:a16="http://schemas.microsoft.com/office/drawing/2014/main" id="{16E32E75-DF06-4E6F-834D-6060F9B8BB59}"/>
            </a:ext>
          </a:extLst>
        </xdr:cNvPr>
        <xdr:cNvSpPr/>
      </xdr:nvSpPr>
      <xdr:spPr bwMode="auto">
        <a:xfrm>
          <a:off x="5740400" y="3740150"/>
          <a:ext cx="1270000" cy="889000"/>
        </a:xfrm>
        <a:prstGeom prst="rect">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400" b="1" i="0"/>
            <a:t>fact_sales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152399</xdr:colOff>
      <xdr:row>1</xdr:row>
      <xdr:rowOff>142875</xdr:rowOff>
    </xdr:from>
    <xdr:to>
      <xdr:col>5</xdr:col>
      <xdr:colOff>9524</xdr:colOff>
      <xdr:row>40</xdr:row>
      <xdr:rowOff>85725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399" y="371475"/>
          <a:ext cx="8277225" cy="625792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100" b="1"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Notes about this Excel workbook and macro</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On the first ("Home") sheet of this workbook, you will a button titled "Create/Update Diagram(s)" which starts an Excel macro that adds a worksheet for each fact table (if it doesn't already exist), and creates a simple "bubble" diagram of the model.</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Some notes follow:</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We're not "Real Programmers," so there is not a huge quantity of error checking in the macros, and there are definitely no guarantees. You should save your workbook before generating the script.</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You can use this workbook and macro to generate an arbitrary SQL Server database. Here are some instructions and rules:</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To use this tool, first go to the Home worksheet and enter the overall database information.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Next, make a copy of the BlankDim or BlankFact worksheet for each dimension or fact table you'd like to create. </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Name each worksheet according to the display name of the table it defines.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Delete the example entries in each sheet and fill in the table and column names, definitions, etc. for your tables.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Change the "N" to "Y" in the Generate Script? field if you want the macro to include the table in the script.</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"Key?" column takes the following values: PK (Primary Key), ID (Identity), FK (Foreign Key). You can combine PK ID to indicate a database generated surrogate key for a dimension.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"FK To" column holds the table and column reference to the primary key of the table to which this entry is a foreign key (tablename.columnname).</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table header rows at the top of each worksheet get instantiated as table-level extended properties.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Add rows to that area in order to add information that you'd like to be additional table extended properties.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Leave a blank line before the Column Information section.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We'll create extended properties for each column starting with DisplayName (until we see an empty cell in that header row).</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diagram generator looks for the fact tables, then uses the foreign key definitions to find the associated dimension tables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Be sure to fill in the display name for a better looking diagram</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Once you create a diagram, you can click on each table in the diagram and it will link you back to the table's worksheet</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(this only works if the worksheet name matches the display name of its table, otherwise, the links are invalid)</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200025</xdr:colOff>
      <xdr:row>44</xdr:row>
      <xdr:rowOff>9525</xdr:rowOff>
    </xdr:from>
    <xdr:to>
      <xdr:col>4</xdr:col>
      <xdr:colOff>923925</xdr:colOff>
      <xdr:row>55</xdr:row>
      <xdr:rowOff>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00025" y="7439025"/>
          <a:ext cx="72580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D48487-7F48-4387-800E-6487DC4BA96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323850</xdr:colOff>
      <xdr:row>41</xdr:row>
      <xdr:rowOff>104775</xdr:rowOff>
    </xdr:from>
    <xdr:to>
      <xdr:col>4</xdr:col>
      <xdr:colOff>1047750</xdr:colOff>
      <xdr:row>52</xdr:row>
      <xdr:rowOff>95250</xdr:rowOff>
    </xdr:to>
    <xdr:sp macro="" textlink="">
      <xdr:nvSpPr>
        <xdr:cNvPr id="3" name="Text Box 1">
          <a:extLst>
            <a:ext uri="{FF2B5EF4-FFF2-40B4-BE49-F238E27FC236}">
              <a16:creationId xmlns:a16="http://schemas.microsoft.com/office/drawing/2014/main" id="{2A7EC83A-E62D-48D6-94C6-378B284B47FE}"/>
            </a:ext>
          </a:extLst>
        </xdr:cNvPr>
        <xdr:cNvSpPr txBox="1">
          <a:spLocks noChangeArrowheads="1"/>
        </xdr:cNvSpPr>
      </xdr:nvSpPr>
      <xdr:spPr bwMode="auto">
        <a:xfrm>
          <a:off x="323850" y="8305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5FD6CDF-392B-44A9-97E5-D811F3DE5FD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190500</xdr:colOff>
      <xdr:row>29</xdr:row>
      <xdr:rowOff>0</xdr:rowOff>
    </xdr:from>
    <xdr:to>
      <xdr:col>4</xdr:col>
      <xdr:colOff>914400</xdr:colOff>
      <xdr:row>39</xdr:row>
      <xdr:rowOff>38100</xdr:rowOff>
    </xdr:to>
    <xdr:sp macro="" textlink="">
      <xdr:nvSpPr>
        <xdr:cNvPr id="3" name="Text Box 1">
          <a:extLst>
            <a:ext uri="{FF2B5EF4-FFF2-40B4-BE49-F238E27FC236}">
              <a16:creationId xmlns:a16="http://schemas.microsoft.com/office/drawing/2014/main" id="{DC58DE13-EC23-425F-BC46-181608D0C9DF}"/>
            </a:ext>
          </a:extLst>
        </xdr:cNvPr>
        <xdr:cNvSpPr txBox="1">
          <a:spLocks noChangeArrowheads="1"/>
        </xdr:cNvSpPr>
      </xdr:nvSpPr>
      <xdr:spPr bwMode="auto">
        <a:xfrm>
          <a:off x="190500" y="4838700"/>
          <a:ext cx="69913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605483-1E7D-403D-9389-E85A9AFC502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228600</xdr:colOff>
      <xdr:row>43</xdr:row>
      <xdr:rowOff>0</xdr:rowOff>
    </xdr:from>
    <xdr:to>
      <xdr:col>4</xdr:col>
      <xdr:colOff>952500</xdr:colOff>
      <xdr:row>53</xdr:row>
      <xdr:rowOff>152400</xdr:rowOff>
    </xdr:to>
    <xdr:sp macro="" textlink="">
      <xdr:nvSpPr>
        <xdr:cNvPr id="3" name="Text Box 1">
          <a:extLst>
            <a:ext uri="{FF2B5EF4-FFF2-40B4-BE49-F238E27FC236}">
              <a16:creationId xmlns:a16="http://schemas.microsoft.com/office/drawing/2014/main" id="{0D7DBCDC-DA78-452F-8D56-7DA33DB250C0}"/>
            </a:ext>
          </a:extLst>
        </xdr:cNvPr>
        <xdr:cNvSpPr txBox="1">
          <a:spLocks noChangeArrowheads="1"/>
        </xdr:cNvSpPr>
      </xdr:nvSpPr>
      <xdr:spPr bwMode="auto">
        <a:xfrm>
          <a:off x="228600" y="7629525"/>
          <a:ext cx="69913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2" totalsRowShown="0" headerRowDxfId="8" dataDxfId="6" headerRowBorderDxfId="7" tableBorderDxfId="5">
  <autoFilter ref="A1:E2"/>
  <sortState ref="A2:E2">
    <sortCondition descending="1" ref="B1:B2"/>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40" sqref="C40"/>
    </sheetView>
  </sheetViews>
  <sheetFormatPr defaultColWidth="9.140625" defaultRowHeight="12.75" x14ac:dyDescent="0.2"/>
  <cols>
    <col min="1" max="1" width="5.28515625" style="12" customWidth="1"/>
    <col min="2" max="2" width="25.5703125" style="12" customWidth="1"/>
    <col min="3" max="3" width="106.28515625" style="12" customWidth="1"/>
    <col min="4" max="8" width="9.140625" style="12"/>
    <col min="9" max="9" width="5.7109375" style="12" customWidth="1"/>
    <col min="10" max="16384" width="9.140625" style="12"/>
  </cols>
  <sheetData>
    <row r="1" spans="2:3" ht="18" x14ac:dyDescent="0.25">
      <c r="B1" s="11"/>
    </row>
    <row r="2" spans="2:3" ht="21" x14ac:dyDescent="0.4">
      <c r="B2" s="38" t="s">
        <v>60</v>
      </c>
      <c r="C2" s="39"/>
    </row>
    <row r="3" spans="2:3" ht="18" x14ac:dyDescent="0.35">
      <c r="B3" s="39"/>
      <c r="C3" s="39"/>
    </row>
    <row r="4" spans="2:3" ht="18" x14ac:dyDescent="0.35">
      <c r="B4" s="39" t="s">
        <v>35</v>
      </c>
      <c r="C4" s="40">
        <f ca="1">TODAY()</f>
        <v>43261</v>
      </c>
    </row>
    <row r="5" spans="2:3" ht="18" x14ac:dyDescent="0.35">
      <c r="B5" s="39" t="s">
        <v>34</v>
      </c>
      <c r="C5" s="40" t="s">
        <v>94</v>
      </c>
    </row>
    <row r="6" spans="2:3" ht="18" x14ac:dyDescent="0.2">
      <c r="B6" s="41" t="s">
        <v>49</v>
      </c>
      <c r="C6" s="42" t="s">
        <v>95</v>
      </c>
    </row>
    <row r="7" spans="2:3" ht="18" x14ac:dyDescent="0.35">
      <c r="B7" s="39" t="s">
        <v>36</v>
      </c>
      <c r="C7" s="43">
        <v>1.08</v>
      </c>
    </row>
    <row r="8" spans="2:3" ht="18" x14ac:dyDescent="0.35">
      <c r="B8" s="39" t="s">
        <v>6</v>
      </c>
      <c r="C8" s="43" t="s">
        <v>38</v>
      </c>
    </row>
    <row r="9" spans="2:3" ht="18" x14ac:dyDescent="0.35">
      <c r="B9" s="39" t="s">
        <v>62</v>
      </c>
      <c r="C9" s="43" t="s">
        <v>94</v>
      </c>
    </row>
    <row r="10" spans="2:3" ht="18" x14ac:dyDescent="0.35">
      <c r="B10" s="39"/>
      <c r="C10" s="39"/>
    </row>
    <row r="11" spans="2:3" ht="18" x14ac:dyDescent="0.35">
      <c r="B11" s="39"/>
      <c r="C11" s="39" t="s">
        <v>45</v>
      </c>
    </row>
    <row r="12" spans="2:3" ht="18" x14ac:dyDescent="0.35">
      <c r="B12" s="39"/>
      <c r="C12" s="39" t="s">
        <v>46</v>
      </c>
    </row>
    <row r="13" spans="2:3" ht="18" x14ac:dyDescent="0.35">
      <c r="B13" s="39"/>
      <c r="C13" s="39" t="s">
        <v>47</v>
      </c>
    </row>
    <row r="14" spans="2:3" ht="18" x14ac:dyDescent="0.35">
      <c r="B14" s="39"/>
      <c r="C14" s="39" t="s">
        <v>48</v>
      </c>
    </row>
    <row r="15" spans="2:3" ht="18" x14ac:dyDescent="0.35">
      <c r="B15" s="39"/>
      <c r="C15" s="39" t="s">
        <v>93</v>
      </c>
    </row>
    <row r="28" spans="2:2" x14ac:dyDescent="0.2">
      <c r="B28" s="13"/>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56" sqref="C56"/>
    </sheetView>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F43"/>
  <sheetViews>
    <sheetView showGridLines="0" showRowColHeaders="0" view="pageBreakPreview" zoomScaleNormal="100" workbookViewId="0">
      <selection activeCell="N6" sqref="N6"/>
    </sheetView>
  </sheetViews>
  <sheetFormatPr defaultRowHeight="12.75" x14ac:dyDescent="0.2"/>
  <cols>
    <col min="1" max="1" width="86.42578125" bestFit="1" customWidth="1"/>
    <col min="2" max="2" width="11" customWidth="1"/>
    <col min="3" max="3" width="10.5703125" customWidth="1"/>
  </cols>
  <sheetData>
    <row r="1" spans="1:6" ht="18" x14ac:dyDescent="0.25">
      <c r="A1" s="58"/>
      <c r="B1" s="59"/>
      <c r="C1" s="59"/>
      <c r="D1" s="59"/>
      <c r="E1" s="59"/>
      <c r="F1" s="59"/>
    </row>
    <row r="2" spans="1:6" x14ac:dyDescent="0.2">
      <c r="A2" s="59"/>
      <c r="B2" s="59"/>
      <c r="C2" s="59"/>
      <c r="D2" s="59"/>
      <c r="E2" s="59"/>
      <c r="F2" s="59"/>
    </row>
    <row r="3" spans="1:6" x14ac:dyDescent="0.2">
      <c r="A3" s="59"/>
      <c r="B3" s="59"/>
      <c r="C3" s="59"/>
      <c r="D3" s="59"/>
      <c r="E3" s="59"/>
      <c r="F3" s="59"/>
    </row>
    <row r="4" spans="1:6" x14ac:dyDescent="0.2">
      <c r="A4" s="59"/>
      <c r="B4" s="59"/>
      <c r="C4" s="59"/>
      <c r="D4" s="59"/>
      <c r="E4" s="59"/>
      <c r="F4" s="59"/>
    </row>
    <row r="5" spans="1:6" x14ac:dyDescent="0.2">
      <c r="A5" s="59"/>
      <c r="B5" s="59"/>
      <c r="C5" s="59"/>
      <c r="D5" s="59"/>
      <c r="E5" s="59"/>
      <c r="F5" s="59"/>
    </row>
    <row r="6" spans="1:6" x14ac:dyDescent="0.2">
      <c r="A6" s="59"/>
      <c r="B6" s="59"/>
      <c r="C6" s="59"/>
      <c r="D6" s="59"/>
      <c r="E6" s="59"/>
      <c r="F6" s="59"/>
    </row>
    <row r="7" spans="1:6" x14ac:dyDescent="0.2">
      <c r="A7" s="59"/>
      <c r="B7" s="59"/>
      <c r="C7" s="59"/>
      <c r="D7" s="59"/>
      <c r="E7" s="59"/>
      <c r="F7" s="59"/>
    </row>
    <row r="8" spans="1:6" x14ac:dyDescent="0.2">
      <c r="A8" s="59"/>
      <c r="B8" s="59"/>
      <c r="C8" s="59"/>
      <c r="D8" s="59"/>
      <c r="E8" s="59"/>
      <c r="F8" s="59"/>
    </row>
    <row r="9" spans="1:6" x14ac:dyDescent="0.2">
      <c r="A9" s="59"/>
      <c r="B9" s="59"/>
      <c r="C9" s="59"/>
      <c r="D9" s="59"/>
      <c r="E9" s="59"/>
      <c r="F9" s="59"/>
    </row>
    <row r="10" spans="1:6" x14ac:dyDescent="0.2">
      <c r="A10" s="59"/>
      <c r="B10" s="59"/>
      <c r="C10" s="59"/>
      <c r="D10" s="59"/>
      <c r="E10" s="59"/>
      <c r="F10" s="59"/>
    </row>
    <row r="11" spans="1:6" x14ac:dyDescent="0.2">
      <c r="A11" s="59"/>
      <c r="B11" s="59"/>
      <c r="C11" s="59"/>
      <c r="D11" s="59"/>
      <c r="E11" s="59"/>
      <c r="F11" s="59"/>
    </row>
    <row r="12" spans="1:6" x14ac:dyDescent="0.2">
      <c r="A12" s="59"/>
      <c r="B12" s="59"/>
      <c r="C12" s="59"/>
      <c r="D12" s="59"/>
      <c r="E12" s="59"/>
      <c r="F12" s="59"/>
    </row>
    <row r="13" spans="1:6" x14ac:dyDescent="0.2">
      <c r="A13" s="59"/>
      <c r="B13" s="59"/>
      <c r="C13" s="59"/>
      <c r="D13" s="59"/>
      <c r="E13" s="59"/>
      <c r="F13" s="59"/>
    </row>
    <row r="14" spans="1:6" x14ac:dyDescent="0.2">
      <c r="A14" s="59"/>
      <c r="B14" s="59"/>
      <c r="C14" s="59"/>
      <c r="D14" s="59"/>
      <c r="E14" s="59"/>
      <c r="F14" s="59"/>
    </row>
    <row r="15" spans="1:6" x14ac:dyDescent="0.2">
      <c r="A15" s="59"/>
      <c r="B15" s="59"/>
      <c r="C15" s="59"/>
      <c r="D15" s="59"/>
      <c r="E15" s="59"/>
      <c r="F15" s="59"/>
    </row>
    <row r="16" spans="1:6" x14ac:dyDescent="0.2">
      <c r="A16" s="59"/>
      <c r="B16" s="59"/>
      <c r="C16" s="59"/>
      <c r="D16" s="59"/>
      <c r="E16" s="59"/>
      <c r="F16" s="59"/>
    </row>
    <row r="17" spans="1:6" x14ac:dyDescent="0.2">
      <c r="A17" s="59"/>
      <c r="B17" s="59"/>
      <c r="C17" s="59"/>
      <c r="D17" s="59"/>
      <c r="E17" s="59"/>
      <c r="F17" s="59"/>
    </row>
    <row r="18" spans="1:6" x14ac:dyDescent="0.2">
      <c r="A18" s="59"/>
      <c r="B18" s="59"/>
      <c r="C18" s="59"/>
      <c r="D18" s="59"/>
      <c r="E18" s="59"/>
      <c r="F18" s="59"/>
    </row>
    <row r="19" spans="1:6" x14ac:dyDescent="0.2">
      <c r="A19" s="59"/>
      <c r="B19" s="59"/>
      <c r="C19" s="59"/>
      <c r="D19" s="59"/>
      <c r="E19" s="59"/>
      <c r="F19" s="59"/>
    </row>
    <row r="20" spans="1:6" x14ac:dyDescent="0.2">
      <c r="A20" s="59"/>
      <c r="B20" s="59"/>
      <c r="C20" s="59"/>
      <c r="D20" s="59"/>
      <c r="E20" s="59"/>
      <c r="F20" s="59"/>
    </row>
    <row r="21" spans="1:6" x14ac:dyDescent="0.2">
      <c r="A21" s="59"/>
      <c r="B21" s="59"/>
      <c r="C21" s="59"/>
      <c r="D21" s="59"/>
      <c r="E21" s="59"/>
      <c r="F21" s="59"/>
    </row>
    <row r="22" spans="1:6" x14ac:dyDescent="0.2">
      <c r="A22" s="59"/>
      <c r="B22" s="59"/>
      <c r="C22" s="59"/>
      <c r="D22" s="59"/>
      <c r="E22" s="59"/>
      <c r="F22" s="59"/>
    </row>
    <row r="23" spans="1:6" x14ac:dyDescent="0.2">
      <c r="A23" s="59"/>
      <c r="B23" s="59"/>
      <c r="C23" s="59"/>
      <c r="D23" s="59"/>
      <c r="E23" s="59"/>
      <c r="F23" s="59"/>
    </row>
    <row r="24" spans="1:6" x14ac:dyDescent="0.2">
      <c r="A24" s="59"/>
      <c r="B24" s="59"/>
      <c r="C24" s="59"/>
      <c r="D24" s="59"/>
      <c r="E24" s="59"/>
      <c r="F24" s="59"/>
    </row>
    <row r="25" spans="1:6" x14ac:dyDescent="0.2">
      <c r="A25" s="59"/>
      <c r="B25" s="59"/>
      <c r="C25" s="59"/>
      <c r="D25" s="59"/>
      <c r="E25" s="59"/>
      <c r="F25" s="59"/>
    </row>
    <row r="26" spans="1:6" x14ac:dyDescent="0.2">
      <c r="A26" s="59"/>
      <c r="B26" s="59"/>
      <c r="C26" s="59"/>
      <c r="D26" s="59"/>
      <c r="E26" s="59"/>
      <c r="F26" s="59"/>
    </row>
    <row r="27" spans="1:6" x14ac:dyDescent="0.2">
      <c r="A27" s="59"/>
      <c r="B27" s="59"/>
      <c r="C27" s="59"/>
      <c r="D27" s="59"/>
      <c r="E27" s="59"/>
      <c r="F27" s="59"/>
    </row>
    <row r="28" spans="1:6" x14ac:dyDescent="0.2">
      <c r="A28" s="59"/>
      <c r="B28" s="59"/>
      <c r="C28" s="59"/>
      <c r="D28" s="59"/>
      <c r="E28" s="59"/>
      <c r="F28" s="59"/>
    </row>
    <row r="29" spans="1:6" x14ac:dyDescent="0.2">
      <c r="A29" s="59"/>
      <c r="B29" s="59"/>
      <c r="C29" s="59"/>
      <c r="D29" s="59"/>
      <c r="E29" s="59"/>
      <c r="F29" s="59"/>
    </row>
    <row r="30" spans="1:6" x14ac:dyDescent="0.2">
      <c r="A30" s="59"/>
      <c r="B30" s="59"/>
      <c r="C30" s="59"/>
      <c r="D30" s="59"/>
      <c r="E30" s="59"/>
      <c r="F30" s="59"/>
    </row>
    <row r="31" spans="1:6" x14ac:dyDescent="0.2">
      <c r="A31" s="59"/>
      <c r="B31" s="59"/>
      <c r="C31" s="59"/>
      <c r="D31" s="59"/>
      <c r="E31" s="59"/>
      <c r="F31" s="59"/>
    </row>
    <row r="32" spans="1:6" x14ac:dyDescent="0.2">
      <c r="A32" s="59"/>
      <c r="B32" s="59"/>
      <c r="C32" s="59"/>
      <c r="D32" s="59"/>
      <c r="E32" s="59"/>
      <c r="F32" s="59"/>
    </row>
    <row r="33" spans="1:6" x14ac:dyDescent="0.2">
      <c r="A33" s="59"/>
      <c r="B33" s="59"/>
      <c r="C33" s="59"/>
      <c r="D33" s="59"/>
      <c r="E33" s="59"/>
      <c r="F33" s="59"/>
    </row>
    <row r="34" spans="1:6" x14ac:dyDescent="0.2">
      <c r="A34" s="59"/>
      <c r="B34" s="59"/>
      <c r="C34" s="59"/>
      <c r="D34" s="59"/>
      <c r="E34" s="59"/>
      <c r="F34" s="59"/>
    </row>
    <row r="35" spans="1:6" x14ac:dyDescent="0.2">
      <c r="A35" s="59"/>
      <c r="B35" s="59"/>
      <c r="C35" s="59"/>
      <c r="D35" s="59"/>
      <c r="E35" s="59"/>
      <c r="F35" s="59"/>
    </row>
    <row r="36" spans="1:6" x14ac:dyDescent="0.2">
      <c r="A36" s="59"/>
      <c r="B36" s="59"/>
      <c r="C36" s="59"/>
      <c r="D36" s="59"/>
      <c r="E36" s="59"/>
      <c r="F36" s="59"/>
    </row>
    <row r="37" spans="1:6" x14ac:dyDescent="0.2">
      <c r="A37" s="59"/>
      <c r="B37" s="59"/>
      <c r="C37" s="59"/>
      <c r="D37" s="59"/>
      <c r="E37" s="59"/>
      <c r="F37" s="59"/>
    </row>
    <row r="38" spans="1:6" x14ac:dyDescent="0.2">
      <c r="A38" s="59"/>
      <c r="B38" s="59"/>
      <c r="C38" s="59"/>
      <c r="D38" s="59"/>
      <c r="E38" s="59"/>
      <c r="F38" s="59"/>
    </row>
    <row r="39" spans="1:6" x14ac:dyDescent="0.2">
      <c r="A39" s="59"/>
      <c r="B39" s="59"/>
      <c r="C39" s="59"/>
      <c r="D39" s="59"/>
      <c r="E39" s="59"/>
      <c r="F39" s="59"/>
    </row>
    <row r="40" spans="1:6" x14ac:dyDescent="0.2">
      <c r="A40" s="59"/>
      <c r="B40" s="59"/>
      <c r="C40" s="59"/>
      <c r="D40" s="59"/>
      <c r="E40" s="59"/>
      <c r="F40" s="59"/>
    </row>
    <row r="41" spans="1:6" x14ac:dyDescent="0.2">
      <c r="A41" s="59"/>
      <c r="B41" s="59"/>
      <c r="C41" s="59"/>
      <c r="D41" s="59"/>
      <c r="E41" s="59"/>
      <c r="F41" s="59"/>
    </row>
    <row r="42" spans="1:6" x14ac:dyDescent="0.2">
      <c r="A42" s="59"/>
      <c r="B42" s="59"/>
      <c r="C42" s="59"/>
      <c r="D42" s="59"/>
      <c r="E42" s="59"/>
      <c r="F42" s="59"/>
    </row>
    <row r="43" spans="1:6" x14ac:dyDescent="0.2">
      <c r="A43" s="60"/>
      <c r="B43" s="60"/>
      <c r="C43" s="60"/>
      <c r="D43" s="60"/>
      <c r="E43" s="60"/>
      <c r="F43" s="60"/>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2"/>
  <sheetViews>
    <sheetView workbookViewId="0">
      <selection activeCell="A3" sqref="A3:XFD17"/>
    </sheetView>
  </sheetViews>
  <sheetFormatPr defaultColWidth="9.140625" defaultRowHeight="12.75" x14ac:dyDescent="0.2"/>
  <cols>
    <col min="1" max="1" width="10.140625" style="1" bestFit="1" customWidth="1"/>
    <col min="2" max="2" width="11.7109375" style="1" customWidth="1"/>
    <col min="3" max="3" width="11.5703125" style="1" customWidth="1"/>
    <col min="4" max="4" width="9.42578125" style="1" customWidth="1"/>
    <col min="5" max="5" width="78.7109375" style="7" customWidth="1"/>
    <col min="6" max="16384" width="9.140625" style="1"/>
  </cols>
  <sheetData>
    <row r="1" spans="1:5" ht="13.5" thickBot="1" x14ac:dyDescent="0.25">
      <c r="A1" s="14" t="s">
        <v>5</v>
      </c>
      <c r="B1" s="14" t="s">
        <v>43</v>
      </c>
      <c r="C1" s="14" t="s">
        <v>54</v>
      </c>
      <c r="D1" s="14" t="s">
        <v>0</v>
      </c>
      <c r="E1" s="15" t="s">
        <v>17</v>
      </c>
    </row>
    <row r="2" spans="1:5" ht="13.5" thickTop="1" x14ac:dyDescent="0.2">
      <c r="A2" s="8">
        <v>43239</v>
      </c>
      <c r="B2" s="9">
        <v>0</v>
      </c>
      <c r="C2" s="17">
        <v>1</v>
      </c>
      <c r="D2" s="18" t="s">
        <v>91</v>
      </c>
      <c r="E2" s="16" t="s">
        <v>92</v>
      </c>
    </row>
  </sheetData>
  <sortState ref="A2:E2">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4"/>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2" width="20.42578125" style="4" customWidth="1"/>
    <col min="3" max="3" width="44.85546875" style="4" bestFit="1" customWidth="1"/>
    <col min="4" max="4" width="18.7109375" style="4" bestFit="1" customWidth="1"/>
    <col min="5" max="5" width="18.85546875" style="3" bestFit="1" customWidth="1"/>
    <col min="6" max="6" width="9.85546875" style="3" bestFit="1" customWidth="1"/>
    <col min="7" max="7" width="39.5703125" style="4" customWidth="1"/>
    <col min="8" max="8" width="31.5703125" style="4" customWidth="1"/>
    <col min="9" max="9" width="37" style="4" customWidth="1"/>
    <col min="10" max="10" width="8.85546875" style="4" bestFit="1" customWidth="1"/>
    <col min="11" max="11" width="6.140625" style="4" customWidth="1"/>
    <col min="12" max="12" width="8.7109375" style="4" bestFit="1" customWidth="1"/>
    <col min="13" max="13" width="5.85546875" style="4" bestFit="1" customWidth="1"/>
    <col min="14" max="14" width="13.85546875" style="4" bestFit="1" customWidth="1"/>
    <col min="15" max="15" width="5.7109375" style="4" customWidth="1"/>
    <col min="16" max="16" width="12.28515625" style="4" bestFit="1" customWidth="1"/>
    <col min="17" max="17" width="13.7109375" style="4" bestFit="1" customWidth="1"/>
    <col min="18" max="18" width="14.140625" style="4" bestFit="1" customWidth="1"/>
    <col min="19" max="19" width="13.42578125" style="4" bestFit="1" customWidth="1"/>
    <col min="20" max="20" width="17" style="4" bestFit="1" customWidth="1"/>
    <col min="21" max="21" width="15.28515625" style="4" bestFit="1" customWidth="1"/>
    <col min="22" max="16384" width="9.140625" style="4"/>
  </cols>
  <sheetData>
    <row r="1" spans="1:21" s="5" customFormat="1" ht="18.75" x14ac:dyDescent="0.3">
      <c r="A1" s="56" t="s">
        <v>10</v>
      </c>
      <c r="B1" s="22" t="s">
        <v>96</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96</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97</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97</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20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50"/>
      <c r="I11" s="45"/>
      <c r="J11" s="67" t="s">
        <v>19</v>
      </c>
      <c r="K11" s="68"/>
      <c r="L11" s="68"/>
      <c r="M11" s="68"/>
      <c r="N11" s="68"/>
      <c r="O11" s="68"/>
      <c r="P11" s="69"/>
      <c r="Q11" s="70" t="s">
        <v>20</v>
      </c>
      <c r="R11" s="71"/>
      <c r="S11" s="71"/>
      <c r="T11" s="71"/>
      <c r="U11" s="72"/>
    </row>
    <row r="12" spans="1:21" s="44" customFormat="1" ht="26.25" customHeight="1" x14ac:dyDescent="0.2">
      <c r="A12" s="45" t="s">
        <v>11</v>
      </c>
      <c r="B12" s="45" t="s">
        <v>44</v>
      </c>
      <c r="C12" s="45" t="s">
        <v>17</v>
      </c>
      <c r="D12" s="45" t="s">
        <v>2</v>
      </c>
      <c r="E12" s="45" t="s">
        <v>21</v>
      </c>
      <c r="F12" s="45" t="s">
        <v>27</v>
      </c>
      <c r="G12" s="45" t="s">
        <v>249</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98</v>
      </c>
      <c r="B13" s="26" t="s">
        <v>98</v>
      </c>
      <c r="C13" s="26" t="s">
        <v>99</v>
      </c>
      <c r="D13" s="27">
        <v>-1</v>
      </c>
      <c r="E13" s="26" t="s">
        <v>4</v>
      </c>
      <c r="F13" s="26" t="s">
        <v>61</v>
      </c>
      <c r="G13" s="26" t="s">
        <v>211</v>
      </c>
      <c r="H13" s="26" t="s">
        <v>103</v>
      </c>
      <c r="I13" s="26"/>
      <c r="J13" s="28" t="s">
        <v>14</v>
      </c>
      <c r="K13" s="29">
        <v>10</v>
      </c>
      <c r="L13" s="29"/>
      <c r="M13" s="29" t="s">
        <v>105</v>
      </c>
      <c r="N13" s="29" t="s">
        <v>144</v>
      </c>
      <c r="O13" s="29" t="s">
        <v>15</v>
      </c>
      <c r="P13" s="30"/>
      <c r="Q13" s="31" t="s">
        <v>75</v>
      </c>
      <c r="R13" s="32" t="s">
        <v>137</v>
      </c>
      <c r="S13" s="29" t="s">
        <v>96</v>
      </c>
      <c r="T13" s="32" t="s">
        <v>98</v>
      </c>
      <c r="U13" s="33" t="s">
        <v>14</v>
      </c>
    </row>
    <row r="14" spans="1:21" s="2" customFormat="1" ht="15" x14ac:dyDescent="0.2">
      <c r="A14" s="26" t="s">
        <v>101</v>
      </c>
      <c r="B14" s="26" t="s">
        <v>101</v>
      </c>
      <c r="C14" s="26" t="s">
        <v>50</v>
      </c>
      <c r="D14" s="27">
        <v>-1</v>
      </c>
      <c r="E14" s="26" t="s">
        <v>80</v>
      </c>
      <c r="F14" s="26" t="s">
        <v>61</v>
      </c>
      <c r="G14" s="26"/>
      <c r="H14" s="26" t="s">
        <v>102</v>
      </c>
      <c r="I14" s="26" t="s">
        <v>104</v>
      </c>
      <c r="J14" s="28" t="s">
        <v>14</v>
      </c>
      <c r="K14" s="29">
        <v>10</v>
      </c>
      <c r="L14" s="29"/>
      <c r="M14" s="29" t="s">
        <v>238</v>
      </c>
      <c r="N14" s="29"/>
      <c r="O14" s="29" t="s">
        <v>38</v>
      </c>
      <c r="P14" s="30"/>
      <c r="Q14" s="31" t="s">
        <v>29</v>
      </c>
      <c r="R14" s="32" t="s">
        <v>138</v>
      </c>
      <c r="S14" s="29" t="s">
        <v>139</v>
      </c>
      <c r="T14" s="32" t="s">
        <v>101</v>
      </c>
      <c r="U14" s="33" t="s">
        <v>14</v>
      </c>
    </row>
    <row r="15" spans="1:21" s="2" customFormat="1" ht="15" x14ac:dyDescent="0.2">
      <c r="A15" s="26" t="s">
        <v>121</v>
      </c>
      <c r="B15" s="26" t="s">
        <v>66</v>
      </c>
      <c r="C15" s="26" t="s">
        <v>122</v>
      </c>
      <c r="D15" s="27" t="s">
        <v>3</v>
      </c>
      <c r="E15" s="26" t="s">
        <v>123</v>
      </c>
      <c r="F15" s="26">
        <v>2</v>
      </c>
      <c r="G15" s="26" t="s">
        <v>250</v>
      </c>
      <c r="H15" s="26"/>
      <c r="I15" s="26"/>
      <c r="J15" s="28" t="s">
        <v>110</v>
      </c>
      <c r="K15" s="29">
        <v>45</v>
      </c>
      <c r="L15" s="29"/>
      <c r="M15" s="29"/>
      <c r="N15" s="29"/>
      <c r="O15" s="29" t="s">
        <v>38</v>
      </c>
      <c r="P15" s="30"/>
      <c r="Q15" s="31" t="s">
        <v>29</v>
      </c>
      <c r="R15" s="32" t="s">
        <v>138</v>
      </c>
      <c r="S15" s="29" t="s">
        <v>139</v>
      </c>
      <c r="T15" s="32" t="s">
        <v>121</v>
      </c>
      <c r="U15" s="33" t="s">
        <v>140</v>
      </c>
    </row>
    <row r="16" spans="1:21" s="2" customFormat="1" ht="15" x14ac:dyDescent="0.2">
      <c r="A16" s="26" t="s">
        <v>124</v>
      </c>
      <c r="B16" s="26" t="s">
        <v>125</v>
      </c>
      <c r="C16" s="26" t="s">
        <v>126</v>
      </c>
      <c r="D16" s="27" t="s">
        <v>3</v>
      </c>
      <c r="E16" s="26" t="s">
        <v>127</v>
      </c>
      <c r="F16" s="26">
        <v>2</v>
      </c>
      <c r="G16" s="26" t="s">
        <v>251</v>
      </c>
      <c r="H16" s="26"/>
      <c r="I16" s="26"/>
      <c r="J16" s="28" t="s">
        <v>110</v>
      </c>
      <c r="K16" s="29">
        <v>45</v>
      </c>
      <c r="L16" s="29"/>
      <c r="M16" s="29"/>
      <c r="N16" s="29"/>
      <c r="O16" s="29" t="s">
        <v>38</v>
      </c>
      <c r="P16" s="30"/>
      <c r="Q16" s="31" t="s">
        <v>29</v>
      </c>
      <c r="R16" s="32" t="s">
        <v>138</v>
      </c>
      <c r="S16" s="29" t="s">
        <v>139</v>
      </c>
      <c r="T16" s="32" t="s">
        <v>124</v>
      </c>
      <c r="U16" s="33" t="s">
        <v>140</v>
      </c>
    </row>
    <row r="17" spans="1:21" s="2" customFormat="1" ht="15" x14ac:dyDescent="0.2">
      <c r="A17" s="26" t="s">
        <v>106</v>
      </c>
      <c r="B17" s="26" t="s">
        <v>64</v>
      </c>
      <c r="C17" s="26" t="s">
        <v>65</v>
      </c>
      <c r="D17" s="27" t="s">
        <v>3</v>
      </c>
      <c r="E17" s="26" t="s">
        <v>81</v>
      </c>
      <c r="F17" s="26">
        <v>2</v>
      </c>
      <c r="G17" s="26" t="s">
        <v>252</v>
      </c>
      <c r="H17" s="26"/>
      <c r="I17" s="26"/>
      <c r="J17" s="28" t="s">
        <v>110</v>
      </c>
      <c r="K17" s="29">
        <v>45</v>
      </c>
      <c r="L17" s="29"/>
      <c r="M17" s="29"/>
      <c r="N17" s="29"/>
      <c r="O17" s="29" t="s">
        <v>38</v>
      </c>
      <c r="P17" s="30"/>
      <c r="Q17" s="31" t="s">
        <v>29</v>
      </c>
      <c r="R17" s="32" t="s">
        <v>138</v>
      </c>
      <c r="S17" s="29" t="s">
        <v>139</v>
      </c>
      <c r="T17" s="32" t="s">
        <v>106</v>
      </c>
      <c r="U17" s="33" t="s">
        <v>140</v>
      </c>
    </row>
    <row r="18" spans="1:21" s="2" customFormat="1" ht="18" customHeight="1" x14ac:dyDescent="0.2">
      <c r="A18" s="26" t="s">
        <v>107</v>
      </c>
      <c r="B18" s="26" t="s">
        <v>112</v>
      </c>
      <c r="C18" s="26" t="s">
        <v>108</v>
      </c>
      <c r="D18" s="27" t="s">
        <v>3</v>
      </c>
      <c r="E18" s="26" t="s">
        <v>109</v>
      </c>
      <c r="F18" s="26">
        <v>2</v>
      </c>
      <c r="G18" s="26" t="s">
        <v>212</v>
      </c>
      <c r="H18" s="26"/>
      <c r="I18" s="26" t="s">
        <v>116</v>
      </c>
      <c r="J18" s="28" t="s">
        <v>110</v>
      </c>
      <c r="K18" s="29">
        <v>45</v>
      </c>
      <c r="L18" s="29"/>
      <c r="M18" s="29"/>
      <c r="N18" s="29"/>
      <c r="O18" s="29" t="s">
        <v>38</v>
      </c>
      <c r="P18" s="30"/>
      <c r="Q18" s="31" t="s">
        <v>29</v>
      </c>
      <c r="R18" s="32" t="s">
        <v>138</v>
      </c>
      <c r="S18" s="29" t="s">
        <v>139</v>
      </c>
      <c r="T18" s="32" t="s">
        <v>107</v>
      </c>
      <c r="U18" s="33" t="s">
        <v>140</v>
      </c>
    </row>
    <row r="19" spans="1:21" s="2" customFormat="1" ht="15" x14ac:dyDescent="0.2">
      <c r="A19" s="26" t="s">
        <v>111</v>
      </c>
      <c r="B19" s="26" t="s">
        <v>113</v>
      </c>
      <c r="C19" s="26" t="s">
        <v>114</v>
      </c>
      <c r="D19" s="27" t="s">
        <v>3</v>
      </c>
      <c r="E19" s="26" t="s">
        <v>115</v>
      </c>
      <c r="F19" s="26">
        <v>2</v>
      </c>
      <c r="G19" s="26" t="s">
        <v>213</v>
      </c>
      <c r="H19" s="26"/>
      <c r="I19" s="26" t="s">
        <v>116</v>
      </c>
      <c r="J19" s="28" t="s">
        <v>110</v>
      </c>
      <c r="K19" s="29">
        <v>45</v>
      </c>
      <c r="L19" s="29"/>
      <c r="M19" s="29"/>
      <c r="N19" s="29"/>
      <c r="O19" s="29" t="s">
        <v>38</v>
      </c>
      <c r="P19" s="30"/>
      <c r="Q19" s="31" t="s">
        <v>29</v>
      </c>
      <c r="R19" s="32" t="s">
        <v>138</v>
      </c>
      <c r="S19" s="29" t="s">
        <v>139</v>
      </c>
      <c r="T19" s="32" t="s">
        <v>111</v>
      </c>
      <c r="U19" s="33" t="s">
        <v>140</v>
      </c>
    </row>
    <row r="20" spans="1:21" s="2" customFormat="1" ht="15" x14ac:dyDescent="0.2">
      <c r="A20" s="26" t="s">
        <v>117</v>
      </c>
      <c r="B20" s="26" t="s">
        <v>118</v>
      </c>
      <c r="C20" s="26" t="s">
        <v>119</v>
      </c>
      <c r="D20" s="27" t="s">
        <v>3</v>
      </c>
      <c r="E20" s="26" t="s">
        <v>120</v>
      </c>
      <c r="F20" s="26">
        <v>2</v>
      </c>
      <c r="G20" s="26" t="s">
        <v>214</v>
      </c>
      <c r="H20" s="26"/>
      <c r="I20" s="26" t="s">
        <v>116</v>
      </c>
      <c r="J20" s="28" t="s">
        <v>110</v>
      </c>
      <c r="K20" s="29">
        <v>45</v>
      </c>
      <c r="L20" s="29"/>
      <c r="M20" s="29"/>
      <c r="N20" s="29"/>
      <c r="O20" s="29" t="s">
        <v>38</v>
      </c>
      <c r="P20" s="30"/>
      <c r="Q20" s="31" t="s">
        <v>29</v>
      </c>
      <c r="R20" s="32" t="s">
        <v>138</v>
      </c>
      <c r="S20" s="29" t="s">
        <v>139</v>
      </c>
      <c r="T20" s="32" t="s">
        <v>117</v>
      </c>
      <c r="U20" s="33" t="s">
        <v>140</v>
      </c>
    </row>
    <row r="21" spans="1:21" s="2" customFormat="1" ht="15" x14ac:dyDescent="0.2">
      <c r="A21" s="27" t="s">
        <v>128</v>
      </c>
      <c r="B21" s="27" t="s">
        <v>128</v>
      </c>
      <c r="C21" s="26" t="s">
        <v>129</v>
      </c>
      <c r="D21" s="27" t="s">
        <v>3</v>
      </c>
      <c r="E21" s="26" t="s">
        <v>130</v>
      </c>
      <c r="F21" s="26" t="s">
        <v>261</v>
      </c>
      <c r="G21" s="26" t="s">
        <v>59</v>
      </c>
      <c r="H21" s="26" t="s">
        <v>1</v>
      </c>
      <c r="I21" s="26"/>
      <c r="J21" s="28" t="s">
        <v>14</v>
      </c>
      <c r="K21" s="29">
        <v>10</v>
      </c>
      <c r="L21" s="29"/>
      <c r="M21" s="29"/>
      <c r="N21" s="29"/>
      <c r="O21" s="29" t="s">
        <v>38</v>
      </c>
      <c r="P21" s="30"/>
      <c r="Q21" s="31" t="s">
        <v>75</v>
      </c>
      <c r="R21" s="32" t="s">
        <v>137</v>
      </c>
      <c r="S21" s="29" t="s">
        <v>96</v>
      </c>
      <c r="T21" s="29" t="s">
        <v>128</v>
      </c>
      <c r="U21" s="30" t="s">
        <v>14</v>
      </c>
    </row>
    <row r="22" spans="1:21" s="2" customFormat="1" ht="15" x14ac:dyDescent="0.2">
      <c r="A22" s="26" t="s">
        <v>131</v>
      </c>
      <c r="B22" s="26" t="s">
        <v>131</v>
      </c>
      <c r="C22" s="26" t="s">
        <v>136</v>
      </c>
      <c r="D22" s="34">
        <v>1</v>
      </c>
      <c r="E22" s="35">
        <v>40567</v>
      </c>
      <c r="F22" s="26" t="s">
        <v>28</v>
      </c>
      <c r="G22" s="26" t="s">
        <v>59</v>
      </c>
      <c r="H22" s="26" t="s">
        <v>1</v>
      </c>
      <c r="I22" s="26"/>
      <c r="J22" s="28" t="s">
        <v>30</v>
      </c>
      <c r="K22" s="29"/>
      <c r="L22" s="29"/>
      <c r="M22" s="29"/>
      <c r="N22" s="29"/>
      <c r="O22" s="29" t="s">
        <v>38</v>
      </c>
      <c r="P22" s="36">
        <v>1</v>
      </c>
      <c r="Q22" s="31" t="s">
        <v>75</v>
      </c>
      <c r="R22" s="32" t="s">
        <v>137</v>
      </c>
      <c r="S22" s="29" t="s">
        <v>96</v>
      </c>
      <c r="T22" s="29" t="s">
        <v>131</v>
      </c>
      <c r="U22" s="30" t="s">
        <v>30</v>
      </c>
    </row>
    <row r="23" spans="1:21" s="2" customFormat="1" ht="15" x14ac:dyDescent="0.2">
      <c r="A23" s="26" t="s">
        <v>132</v>
      </c>
      <c r="B23" s="26" t="s">
        <v>132</v>
      </c>
      <c r="C23" s="26" t="s">
        <v>135</v>
      </c>
      <c r="D23" s="34">
        <v>109574</v>
      </c>
      <c r="E23" s="26" t="s">
        <v>133</v>
      </c>
      <c r="F23" s="26" t="s">
        <v>28</v>
      </c>
      <c r="G23" s="26" t="s">
        <v>59</v>
      </c>
      <c r="H23" s="26" t="s">
        <v>1</v>
      </c>
      <c r="I23" s="26"/>
      <c r="J23" s="28" t="s">
        <v>30</v>
      </c>
      <c r="K23" s="29"/>
      <c r="L23" s="29"/>
      <c r="M23" s="29"/>
      <c r="N23" s="29"/>
      <c r="O23" s="29" t="s">
        <v>38</v>
      </c>
      <c r="P23" s="36">
        <v>109574</v>
      </c>
      <c r="Q23" s="31" t="s">
        <v>75</v>
      </c>
      <c r="R23" s="32" t="s">
        <v>137</v>
      </c>
      <c r="S23" s="29" t="s">
        <v>96</v>
      </c>
      <c r="T23" s="29" t="s">
        <v>132</v>
      </c>
      <c r="U23" s="30" t="s">
        <v>30</v>
      </c>
    </row>
    <row r="24" spans="1:21" s="2" customFormat="1" ht="15" x14ac:dyDescent="0.2">
      <c r="A24" s="26" t="s">
        <v>134</v>
      </c>
      <c r="B24" s="26" t="s">
        <v>134</v>
      </c>
      <c r="C24" s="26" t="s">
        <v>31</v>
      </c>
      <c r="D24" s="27" t="s">
        <v>3</v>
      </c>
      <c r="E24" s="35">
        <v>42768</v>
      </c>
      <c r="F24" s="26" t="s">
        <v>28</v>
      </c>
      <c r="G24" s="26" t="s">
        <v>59</v>
      </c>
      <c r="H24" s="26" t="s">
        <v>1</v>
      </c>
      <c r="I24" s="26"/>
      <c r="J24" s="28" t="s">
        <v>30</v>
      </c>
      <c r="K24" s="29"/>
      <c r="L24" s="29"/>
      <c r="M24" s="29"/>
      <c r="N24" s="29"/>
      <c r="O24" s="29" t="s">
        <v>38</v>
      </c>
      <c r="P24" s="30"/>
      <c r="Q24" s="31" t="s">
        <v>29</v>
      </c>
      <c r="R24" s="29" t="s">
        <v>138</v>
      </c>
      <c r="S24" s="29" t="s">
        <v>139</v>
      </c>
      <c r="T24" s="37" t="s">
        <v>134</v>
      </c>
      <c r="U24" s="30" t="s">
        <v>30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36.42578125" style="4" customWidth="1"/>
    <col min="4" max="4" width="17.28515625" style="4" bestFit="1" customWidth="1"/>
    <col min="5" max="5" width="18.85546875" style="3" bestFit="1" customWidth="1"/>
    <col min="6" max="6" width="9.5703125" style="3" bestFit="1" customWidth="1"/>
    <col min="7" max="7" width="33.28515625" style="4" bestFit="1" customWidth="1"/>
    <col min="8" max="8" width="31.5703125" style="4" customWidth="1"/>
    <col min="9" max="9" width="37" style="4" customWidth="1"/>
    <col min="10" max="10" width="9.42578125" style="4" customWidth="1"/>
    <col min="11" max="11" width="4.28515625" style="4" bestFit="1" customWidth="1"/>
    <col min="12" max="12" width="8.7109375" style="4" bestFit="1" customWidth="1"/>
    <col min="13" max="13" width="5.85546875" style="4" bestFit="1" customWidth="1"/>
    <col min="14" max="14" width="13.85546875" style="4" bestFit="1" customWidth="1"/>
    <col min="15" max="15" width="6.7109375" style="4" bestFit="1" customWidth="1"/>
    <col min="16" max="16" width="13.28515625" style="4" bestFit="1" customWidth="1"/>
    <col min="17" max="17" width="13.7109375" style="4" bestFit="1" customWidth="1"/>
    <col min="18" max="18" width="14.140625" style="4" bestFit="1" customWidth="1"/>
    <col min="19" max="19" width="11.85546875" style="4" bestFit="1" customWidth="1"/>
    <col min="20" max="20" width="17" style="4" bestFit="1" customWidth="1"/>
    <col min="21" max="21" width="15.85546875" style="4" bestFit="1" customWidth="1"/>
    <col min="22" max="16384" width="9.140625" style="4"/>
  </cols>
  <sheetData>
    <row r="1" spans="1:21" s="5" customFormat="1" ht="18.75" x14ac:dyDescent="0.3">
      <c r="A1" s="56" t="s">
        <v>10</v>
      </c>
      <c r="B1" s="22" t="s">
        <v>141</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141</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77</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77</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46"/>
      <c r="I11" s="45"/>
      <c r="J11" s="73" t="s">
        <v>19</v>
      </c>
      <c r="K11" s="74"/>
      <c r="L11" s="74"/>
      <c r="M11" s="74"/>
      <c r="N11" s="74"/>
      <c r="O11" s="74"/>
      <c r="P11" s="75"/>
      <c r="Q11" s="76" t="s">
        <v>20</v>
      </c>
      <c r="R11" s="77"/>
      <c r="S11" s="77"/>
      <c r="T11" s="77"/>
      <c r="U11" s="78"/>
    </row>
    <row r="12" spans="1:21" s="44" customFormat="1" ht="26.25" customHeight="1" x14ac:dyDescent="0.2">
      <c r="A12" s="45" t="s">
        <v>11</v>
      </c>
      <c r="B12" s="45" t="s">
        <v>44</v>
      </c>
      <c r="C12" s="45" t="s">
        <v>17</v>
      </c>
      <c r="D12" s="45" t="s">
        <v>2</v>
      </c>
      <c r="E12" s="45" t="s">
        <v>21</v>
      </c>
      <c r="F12" s="45" t="s">
        <v>27</v>
      </c>
      <c r="G12" s="45" t="s">
        <v>274</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154</v>
      </c>
      <c r="B13" s="26" t="s">
        <v>154</v>
      </c>
      <c r="C13" s="26" t="s">
        <v>171</v>
      </c>
      <c r="D13" s="27">
        <v>-1</v>
      </c>
      <c r="E13" s="26">
        <v>20171202</v>
      </c>
      <c r="F13" s="26" t="s">
        <v>61</v>
      </c>
      <c r="G13" s="26" t="s">
        <v>202</v>
      </c>
      <c r="H13" s="26" t="s">
        <v>179</v>
      </c>
      <c r="I13" s="26" t="s">
        <v>180</v>
      </c>
      <c r="J13" s="28" t="s">
        <v>14</v>
      </c>
      <c r="K13" s="29">
        <v>10</v>
      </c>
      <c r="L13" s="29"/>
      <c r="M13" s="29" t="s">
        <v>105</v>
      </c>
      <c r="N13" s="29" t="s">
        <v>144</v>
      </c>
      <c r="O13" s="29" t="s">
        <v>15</v>
      </c>
      <c r="P13" s="30"/>
      <c r="Q13" s="31" t="s">
        <v>75</v>
      </c>
      <c r="R13" s="32" t="s">
        <v>137</v>
      </c>
      <c r="S13" s="29" t="s">
        <v>141</v>
      </c>
      <c r="T13" s="32"/>
      <c r="U13" s="33"/>
    </row>
    <row r="14" spans="1:21" s="2" customFormat="1" ht="12.75" customHeight="1" x14ac:dyDescent="0.2">
      <c r="A14" s="26" t="s">
        <v>177</v>
      </c>
      <c r="B14" s="26" t="s">
        <v>177</v>
      </c>
      <c r="C14" s="26" t="s">
        <v>204</v>
      </c>
      <c r="D14" s="27" t="s">
        <v>3</v>
      </c>
      <c r="E14" s="35">
        <v>42768</v>
      </c>
      <c r="F14" s="26" t="s">
        <v>61</v>
      </c>
      <c r="G14" s="26" t="s">
        <v>202</v>
      </c>
      <c r="H14" s="26" t="s">
        <v>185</v>
      </c>
      <c r="I14" s="26" t="s">
        <v>186</v>
      </c>
      <c r="J14" s="28" t="s">
        <v>177</v>
      </c>
      <c r="K14" s="29"/>
      <c r="L14" s="29"/>
      <c r="M14" s="29"/>
      <c r="N14" s="29"/>
      <c r="O14" s="29" t="s">
        <v>38</v>
      </c>
      <c r="P14" s="30"/>
      <c r="Q14" s="31" t="s">
        <v>67</v>
      </c>
      <c r="R14" s="32" t="s">
        <v>137</v>
      </c>
      <c r="S14" s="29" t="s">
        <v>141</v>
      </c>
      <c r="T14" s="32"/>
      <c r="U14" s="33"/>
    </row>
    <row r="15" spans="1:21" s="2" customFormat="1" ht="15" x14ac:dyDescent="0.2">
      <c r="A15" s="26" t="s">
        <v>173</v>
      </c>
      <c r="B15" s="26" t="s">
        <v>79</v>
      </c>
      <c r="C15" s="26" t="s">
        <v>181</v>
      </c>
      <c r="D15" s="27" t="s">
        <v>3</v>
      </c>
      <c r="E15" s="26">
        <v>2017</v>
      </c>
      <c r="F15" s="26">
        <v>1</v>
      </c>
      <c r="G15" s="26" t="s">
        <v>275</v>
      </c>
      <c r="H15" s="26"/>
      <c r="I15" s="26" t="s">
        <v>184</v>
      </c>
      <c r="J15" s="28" t="s">
        <v>14</v>
      </c>
      <c r="K15" s="29">
        <v>10</v>
      </c>
      <c r="L15" s="29"/>
      <c r="M15" s="29"/>
      <c r="N15" s="29"/>
      <c r="O15" s="29" t="s">
        <v>38</v>
      </c>
      <c r="P15" s="30"/>
      <c r="Q15" s="31" t="s">
        <v>75</v>
      </c>
      <c r="R15" s="32" t="s">
        <v>137</v>
      </c>
      <c r="S15" s="29" t="s">
        <v>141</v>
      </c>
      <c r="T15" s="32"/>
      <c r="U15" s="33"/>
    </row>
    <row r="16" spans="1:21" s="2" customFormat="1" ht="15" x14ac:dyDescent="0.2">
      <c r="A16" s="26" t="s">
        <v>174</v>
      </c>
      <c r="B16" s="26" t="s">
        <v>172</v>
      </c>
      <c r="C16" s="26" t="s">
        <v>182</v>
      </c>
      <c r="D16" s="27" t="s">
        <v>3</v>
      </c>
      <c r="E16" s="26">
        <v>3</v>
      </c>
      <c r="F16" s="26">
        <v>1</v>
      </c>
      <c r="G16" s="26" t="s">
        <v>276</v>
      </c>
      <c r="H16" s="26"/>
      <c r="I16" s="26" t="s">
        <v>184</v>
      </c>
      <c r="J16" s="28" t="s">
        <v>14</v>
      </c>
      <c r="K16" s="29">
        <v>10</v>
      </c>
      <c r="L16" s="29"/>
      <c r="M16" s="29"/>
      <c r="N16" s="29"/>
      <c r="O16" s="29" t="s">
        <v>38</v>
      </c>
      <c r="P16" s="30"/>
      <c r="Q16" s="31" t="s">
        <v>75</v>
      </c>
      <c r="R16" s="32" t="s">
        <v>137</v>
      </c>
      <c r="S16" s="29" t="s">
        <v>141</v>
      </c>
      <c r="T16" s="32"/>
      <c r="U16" s="33"/>
    </row>
    <row r="17" spans="1:21" s="2" customFormat="1" ht="15" x14ac:dyDescent="0.2">
      <c r="A17" s="26" t="s">
        <v>175</v>
      </c>
      <c r="B17" s="26" t="s">
        <v>78</v>
      </c>
      <c r="C17" s="26" t="s">
        <v>183</v>
      </c>
      <c r="D17" s="27" t="s">
        <v>3</v>
      </c>
      <c r="E17" s="26">
        <v>7</v>
      </c>
      <c r="F17" s="26">
        <v>1</v>
      </c>
      <c r="G17" s="26" t="s">
        <v>277</v>
      </c>
      <c r="H17" s="26"/>
      <c r="I17" s="26" t="s">
        <v>184</v>
      </c>
      <c r="J17" s="28" t="s">
        <v>14</v>
      </c>
      <c r="K17" s="29">
        <v>10</v>
      </c>
      <c r="L17" s="29"/>
      <c r="M17" s="29"/>
      <c r="N17" s="29"/>
      <c r="O17" s="29" t="s">
        <v>38</v>
      </c>
      <c r="P17" s="30"/>
      <c r="Q17" s="31" t="s">
        <v>75</v>
      </c>
      <c r="R17" s="32" t="s">
        <v>137</v>
      </c>
      <c r="S17" s="29" t="s">
        <v>141</v>
      </c>
      <c r="T17" s="32"/>
      <c r="U17" s="33"/>
    </row>
    <row r="18" spans="1:21" s="2" customFormat="1" ht="18" customHeight="1" x14ac:dyDescent="0.2">
      <c r="A18" s="26" t="s">
        <v>176</v>
      </c>
      <c r="B18" s="26" t="s">
        <v>178</v>
      </c>
      <c r="C18" s="26" t="s">
        <v>183</v>
      </c>
      <c r="D18" s="27" t="s">
        <v>3</v>
      </c>
      <c r="E18" s="26" t="s">
        <v>199</v>
      </c>
      <c r="F18" s="26">
        <v>1</v>
      </c>
      <c r="G18" s="26" t="s">
        <v>278</v>
      </c>
      <c r="H18" s="26" t="s">
        <v>208</v>
      </c>
      <c r="I18" s="26" t="s">
        <v>201</v>
      </c>
      <c r="J18" s="28" t="s">
        <v>110</v>
      </c>
      <c r="K18" s="29">
        <v>45</v>
      </c>
      <c r="L18" s="29"/>
      <c r="M18" s="29"/>
      <c r="N18" s="29"/>
      <c r="O18" s="29" t="s">
        <v>38</v>
      </c>
      <c r="P18" s="30"/>
      <c r="Q18" s="31" t="s">
        <v>75</v>
      </c>
      <c r="R18" s="32" t="s">
        <v>137</v>
      </c>
      <c r="S18" s="29" t="s">
        <v>141</v>
      </c>
      <c r="T18" s="32"/>
      <c r="U18" s="33"/>
    </row>
    <row r="19" spans="1:21" s="22" customFormat="1" ht="15" x14ac:dyDescent="0.3">
      <c r="A19" s="22" t="s">
        <v>187</v>
      </c>
      <c r="B19" s="22" t="s">
        <v>193</v>
      </c>
      <c r="C19" s="22" t="s">
        <v>200</v>
      </c>
      <c r="D19" s="22" t="s">
        <v>3</v>
      </c>
      <c r="E19" s="23">
        <v>37</v>
      </c>
      <c r="F19" s="23">
        <v>1</v>
      </c>
      <c r="G19" s="26" t="s">
        <v>279</v>
      </c>
      <c r="I19" s="22" t="s">
        <v>184</v>
      </c>
      <c r="J19" s="28" t="s">
        <v>14</v>
      </c>
      <c r="K19" s="29">
        <v>10</v>
      </c>
      <c r="L19" s="29"/>
      <c r="M19" s="29"/>
      <c r="N19" s="29"/>
      <c r="O19" s="29" t="s">
        <v>38</v>
      </c>
      <c r="P19" s="30"/>
      <c r="Q19" s="31" t="s">
        <v>75</v>
      </c>
      <c r="R19" s="32" t="s">
        <v>137</v>
      </c>
      <c r="S19" s="29" t="s">
        <v>141</v>
      </c>
      <c r="T19" s="32"/>
      <c r="U19" s="33"/>
    </row>
    <row r="20" spans="1:21" s="22" customFormat="1" ht="15" x14ac:dyDescent="0.3">
      <c r="A20" s="22" t="s">
        <v>189</v>
      </c>
      <c r="B20" s="22" t="s">
        <v>194</v>
      </c>
      <c r="C20" s="22" t="s">
        <v>203</v>
      </c>
      <c r="D20" s="22" t="s">
        <v>3</v>
      </c>
      <c r="E20" s="23">
        <v>247</v>
      </c>
      <c r="F20" s="23">
        <v>1</v>
      </c>
      <c r="G20" s="26"/>
      <c r="I20" s="22" t="s">
        <v>198</v>
      </c>
      <c r="J20" s="28" t="s">
        <v>14</v>
      </c>
      <c r="K20" s="29">
        <v>10</v>
      </c>
      <c r="L20" s="29"/>
      <c r="M20" s="29"/>
      <c r="N20" s="29"/>
      <c r="O20" s="29" t="s">
        <v>38</v>
      </c>
      <c r="P20" s="30"/>
      <c r="Q20" s="31" t="s">
        <v>75</v>
      </c>
      <c r="R20" s="32" t="s">
        <v>137</v>
      </c>
      <c r="S20" s="29" t="s">
        <v>141</v>
      </c>
      <c r="T20" s="32"/>
      <c r="U20" s="33"/>
    </row>
    <row r="21" spans="1:21" s="22" customFormat="1" ht="15" x14ac:dyDescent="0.3">
      <c r="A21" s="22" t="s">
        <v>190</v>
      </c>
      <c r="B21" s="22" t="s">
        <v>195</v>
      </c>
      <c r="C21" s="22" t="s">
        <v>205</v>
      </c>
      <c r="D21" s="22" t="s">
        <v>3</v>
      </c>
      <c r="E21" s="23">
        <v>23</v>
      </c>
      <c r="F21" s="23">
        <v>1</v>
      </c>
      <c r="G21" s="26"/>
      <c r="I21" s="22" t="s">
        <v>198</v>
      </c>
      <c r="J21" s="28" t="s">
        <v>14</v>
      </c>
      <c r="K21" s="29">
        <v>10</v>
      </c>
      <c r="L21" s="29"/>
      <c r="M21" s="29"/>
      <c r="N21" s="29"/>
      <c r="O21" s="29" t="s">
        <v>38</v>
      </c>
      <c r="P21" s="30"/>
      <c r="Q21" s="31" t="s">
        <v>75</v>
      </c>
      <c r="R21" s="32" t="s">
        <v>137</v>
      </c>
      <c r="S21" s="29" t="s">
        <v>141</v>
      </c>
      <c r="T21" s="32"/>
      <c r="U21" s="33"/>
    </row>
    <row r="22" spans="1:21" s="22" customFormat="1" ht="15" x14ac:dyDescent="0.3">
      <c r="A22" s="22" t="s">
        <v>191</v>
      </c>
      <c r="B22" s="22" t="s">
        <v>196</v>
      </c>
      <c r="C22" s="22" t="s">
        <v>206</v>
      </c>
      <c r="D22" s="22" t="s">
        <v>3</v>
      </c>
      <c r="E22" s="23">
        <v>1</v>
      </c>
      <c r="F22" s="23">
        <v>1</v>
      </c>
      <c r="G22" s="26" t="s">
        <v>280</v>
      </c>
      <c r="I22" s="22" t="s">
        <v>198</v>
      </c>
      <c r="J22" s="28" t="s">
        <v>14</v>
      </c>
      <c r="K22" s="29">
        <v>10</v>
      </c>
      <c r="L22" s="29"/>
      <c r="M22" s="29"/>
      <c r="N22" s="29"/>
      <c r="O22" s="29" t="s">
        <v>38</v>
      </c>
      <c r="P22" s="30"/>
      <c r="Q22" s="31" t="s">
        <v>75</v>
      </c>
      <c r="R22" s="32" t="s">
        <v>137</v>
      </c>
      <c r="S22" s="29" t="s">
        <v>141</v>
      </c>
      <c r="T22" s="32"/>
      <c r="U22" s="33"/>
    </row>
    <row r="23" spans="1:21" s="22" customFormat="1" ht="15" x14ac:dyDescent="0.3">
      <c r="A23" s="22" t="s">
        <v>192</v>
      </c>
      <c r="B23" s="22" t="s">
        <v>197</v>
      </c>
      <c r="C23" s="22" t="s">
        <v>206</v>
      </c>
      <c r="D23" s="22" t="s">
        <v>3</v>
      </c>
      <c r="E23" s="23" t="s">
        <v>207</v>
      </c>
      <c r="F23" s="23">
        <v>1</v>
      </c>
      <c r="G23" s="26" t="s">
        <v>281</v>
      </c>
      <c r="H23" s="22" t="s">
        <v>208</v>
      </c>
      <c r="I23" s="22" t="s">
        <v>184</v>
      </c>
      <c r="J23" s="28" t="s">
        <v>110</v>
      </c>
      <c r="K23" s="29">
        <v>45</v>
      </c>
      <c r="L23" s="29"/>
      <c r="M23" s="29"/>
      <c r="N23" s="29"/>
      <c r="O23" s="29" t="s">
        <v>38</v>
      </c>
      <c r="P23" s="30"/>
      <c r="Q23" s="31" t="s">
        <v>75</v>
      </c>
      <c r="R23" s="32" t="s">
        <v>137</v>
      </c>
      <c r="S23" s="29" t="s">
        <v>141</v>
      </c>
      <c r="T23" s="32"/>
      <c r="U23" s="33"/>
    </row>
    <row r="24" spans="1:21" s="22" customFormat="1" ht="15" x14ac:dyDescent="0.3">
      <c r="E24" s="23"/>
      <c r="F24" s="23"/>
    </row>
    <row r="25" spans="1:21" s="22" customFormat="1" ht="15" x14ac:dyDescent="0.3">
      <c r="E25" s="23"/>
      <c r="F25" s="23"/>
      <c r="I25" s="66" t="s">
        <v>215</v>
      </c>
    </row>
    <row r="26" spans="1:21" s="22" customFormat="1" ht="15" x14ac:dyDescent="0.3">
      <c r="E26" s="23"/>
      <c r="F26" s="23"/>
    </row>
    <row r="27" spans="1:21" s="22" customFormat="1" ht="15" x14ac:dyDescent="0.3">
      <c r="E27" s="23"/>
      <c r="F27" s="23"/>
    </row>
    <row r="28" spans="1:21" s="22" customFormat="1" ht="15" x14ac:dyDescent="0.3">
      <c r="E28" s="23"/>
      <c r="F28" s="23"/>
    </row>
    <row r="29" spans="1:21" ht="15" x14ac:dyDescent="0.3">
      <c r="A29" s="22"/>
      <c r="B29" s="22"/>
      <c r="C29" s="22"/>
      <c r="D29" s="22"/>
      <c r="E29" s="23"/>
      <c r="F29" s="23"/>
      <c r="G29" s="22"/>
      <c r="H29" s="22"/>
      <c r="I29" s="22"/>
      <c r="J29" s="22"/>
      <c r="K29" s="22"/>
      <c r="L29" s="22"/>
      <c r="M29" s="22"/>
      <c r="N29" s="22"/>
      <c r="O29" s="22"/>
      <c r="P29" s="22"/>
      <c r="Q29" s="22"/>
      <c r="R29" s="22"/>
      <c r="S29" s="22"/>
      <c r="T29" s="22"/>
      <c r="U29" s="22"/>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23.5703125" style="4" customWidth="1"/>
    <col min="3" max="3" width="44.5703125" style="4" customWidth="1"/>
    <col min="4" max="4" width="10.42578125" style="4" customWidth="1"/>
    <col min="5" max="5" width="26.140625" style="3" bestFit="1" customWidth="1"/>
    <col min="6" max="6" width="9.5703125" style="3" bestFit="1" customWidth="1"/>
    <col min="7" max="7" width="39.42578125" style="4" customWidth="1"/>
    <col min="8" max="8" width="31.5703125" style="4" customWidth="1"/>
    <col min="9" max="9" width="37" style="4" customWidth="1"/>
    <col min="10" max="10" width="9.28515625" style="4" bestFit="1" customWidth="1"/>
    <col min="11" max="11" width="4.42578125" style="4" bestFit="1" customWidth="1"/>
    <col min="12" max="12" width="9.140625" style="4" bestFit="1" customWidth="1"/>
    <col min="13" max="13" width="5.85546875" style="4" bestFit="1" customWidth="1"/>
    <col min="14" max="14" width="13.85546875" style="4" bestFit="1" customWidth="1"/>
    <col min="15" max="15" width="5.7109375" style="4" customWidth="1"/>
    <col min="16" max="16" width="13.28515625" style="4" bestFit="1" customWidth="1"/>
    <col min="17" max="17" width="13.85546875" style="4" bestFit="1" customWidth="1"/>
    <col min="18" max="18" width="14.42578125" style="4" bestFit="1" customWidth="1"/>
    <col min="19" max="19" width="13.7109375" style="4" bestFit="1" customWidth="1"/>
    <col min="20" max="20" width="14.85546875" style="4" bestFit="1" customWidth="1"/>
    <col min="21" max="21" width="15.85546875" style="4" bestFit="1" customWidth="1"/>
    <col min="22" max="16384" width="9.140625" style="4"/>
  </cols>
  <sheetData>
    <row r="1" spans="1:21" s="5" customFormat="1" ht="18.75" x14ac:dyDescent="0.3">
      <c r="A1" s="56" t="s">
        <v>10</v>
      </c>
      <c r="B1" s="22" t="s">
        <v>142</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142</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89</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89</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52" customFormat="1" ht="13.5" customHeight="1" x14ac:dyDescent="0.2">
      <c r="E11" s="54"/>
      <c r="F11" s="54"/>
      <c r="H11" s="46"/>
      <c r="I11" s="54"/>
      <c r="J11" s="73" t="s">
        <v>19</v>
      </c>
      <c r="K11" s="74"/>
      <c r="L11" s="74"/>
      <c r="M11" s="74"/>
      <c r="N11" s="74"/>
      <c r="O11" s="74"/>
      <c r="P11" s="75"/>
      <c r="Q11" s="76" t="s">
        <v>20</v>
      </c>
      <c r="R11" s="77"/>
      <c r="S11" s="77"/>
      <c r="T11" s="77"/>
      <c r="U11" s="78"/>
    </row>
    <row r="12" spans="1:21" s="52" customFormat="1" ht="26.25" customHeight="1" x14ac:dyDescent="0.2">
      <c r="A12" s="54" t="s">
        <v>11</v>
      </c>
      <c r="B12" s="54" t="s">
        <v>44</v>
      </c>
      <c r="C12" s="54" t="s">
        <v>17</v>
      </c>
      <c r="D12" s="54" t="s">
        <v>2</v>
      </c>
      <c r="E12" s="54" t="s">
        <v>21</v>
      </c>
      <c r="F12" s="54" t="s">
        <v>27</v>
      </c>
      <c r="G12" s="54" t="s">
        <v>248</v>
      </c>
      <c r="H12" s="54" t="s">
        <v>37</v>
      </c>
      <c r="I12" s="54" t="s">
        <v>24</v>
      </c>
      <c r="J12" s="51" t="s">
        <v>22</v>
      </c>
      <c r="K12" s="52" t="s">
        <v>16</v>
      </c>
      <c r="L12" s="52" t="s">
        <v>23</v>
      </c>
      <c r="M12" s="52" t="s">
        <v>12</v>
      </c>
      <c r="N12" s="52" t="s">
        <v>25</v>
      </c>
      <c r="O12" s="52" t="s">
        <v>13</v>
      </c>
      <c r="P12" s="55" t="s">
        <v>26</v>
      </c>
      <c r="Q12" s="53" t="s">
        <v>39</v>
      </c>
      <c r="R12" s="52" t="s">
        <v>40</v>
      </c>
      <c r="S12" s="52" t="s">
        <v>41</v>
      </c>
      <c r="T12" s="52" t="s">
        <v>42</v>
      </c>
      <c r="U12" s="55" t="s">
        <v>33</v>
      </c>
    </row>
    <row r="13" spans="1:21" s="2" customFormat="1" ht="18" customHeight="1" x14ac:dyDescent="0.2">
      <c r="A13" s="26" t="s">
        <v>155</v>
      </c>
      <c r="B13" s="26" t="s">
        <v>155</v>
      </c>
      <c r="C13" s="26" t="s">
        <v>210</v>
      </c>
      <c r="D13" s="27">
        <v>-1</v>
      </c>
      <c r="E13" s="26" t="s">
        <v>4</v>
      </c>
      <c r="F13" s="26" t="s">
        <v>61</v>
      </c>
      <c r="G13" s="26" t="s">
        <v>211</v>
      </c>
      <c r="H13" s="26" t="s">
        <v>240</v>
      </c>
      <c r="I13" s="26"/>
      <c r="J13" s="28" t="s">
        <v>14</v>
      </c>
      <c r="K13" s="29">
        <v>10</v>
      </c>
      <c r="L13" s="29"/>
      <c r="M13" s="29" t="s">
        <v>105</v>
      </c>
      <c r="N13" s="29" t="s">
        <v>144</v>
      </c>
      <c r="O13" s="29" t="s">
        <v>15</v>
      </c>
      <c r="P13" s="30"/>
      <c r="Q13" s="31" t="s">
        <v>75</v>
      </c>
      <c r="R13" s="32" t="s">
        <v>137</v>
      </c>
      <c r="S13" s="29" t="s">
        <v>142</v>
      </c>
      <c r="T13" s="32" t="s">
        <v>155</v>
      </c>
      <c r="U13" s="33" t="s">
        <v>14</v>
      </c>
    </row>
    <row r="14" spans="1:21" s="2" customFormat="1" ht="17.25" customHeight="1" x14ac:dyDescent="0.2">
      <c r="A14" s="26" t="s">
        <v>209</v>
      </c>
      <c r="B14" s="26" t="s">
        <v>209</v>
      </c>
      <c r="C14" s="26" t="s">
        <v>50</v>
      </c>
      <c r="D14" s="27">
        <v>-1</v>
      </c>
      <c r="E14" s="26" t="s">
        <v>80</v>
      </c>
      <c r="F14" s="26" t="s">
        <v>61</v>
      </c>
      <c r="G14" s="26" t="s">
        <v>211</v>
      </c>
      <c r="H14" s="26" t="s">
        <v>241</v>
      </c>
      <c r="I14" s="26" t="s">
        <v>242</v>
      </c>
      <c r="J14" s="28" t="s">
        <v>237</v>
      </c>
      <c r="K14" s="29">
        <v>10</v>
      </c>
      <c r="L14" s="29"/>
      <c r="M14" s="29" t="s">
        <v>238</v>
      </c>
      <c r="N14" s="29"/>
      <c r="O14" s="29" t="s">
        <v>38</v>
      </c>
      <c r="P14" s="30"/>
      <c r="Q14" s="31" t="s">
        <v>29</v>
      </c>
      <c r="R14" s="32" t="s">
        <v>138</v>
      </c>
      <c r="S14" s="29" t="s">
        <v>263</v>
      </c>
      <c r="T14" s="32" t="s">
        <v>209</v>
      </c>
      <c r="U14" s="33" t="s">
        <v>14</v>
      </c>
    </row>
    <row r="15" spans="1:21" s="2" customFormat="1" ht="17.25" customHeight="1" x14ac:dyDescent="0.2">
      <c r="A15" s="26" t="s">
        <v>216</v>
      </c>
      <c r="B15" s="26" t="s">
        <v>217</v>
      </c>
      <c r="C15" s="26" t="s">
        <v>233</v>
      </c>
      <c r="D15" s="27" t="s">
        <v>3</v>
      </c>
      <c r="E15" s="26" t="s">
        <v>234</v>
      </c>
      <c r="F15" s="26">
        <v>1</v>
      </c>
      <c r="G15" s="26" t="s">
        <v>253</v>
      </c>
      <c r="H15" s="26" t="s">
        <v>246</v>
      </c>
      <c r="I15" s="26"/>
      <c r="J15" s="28" t="s">
        <v>110</v>
      </c>
      <c r="K15" s="29">
        <v>255</v>
      </c>
      <c r="L15" s="29"/>
      <c r="M15" s="29"/>
      <c r="N15" s="29"/>
      <c r="O15" s="29" t="s">
        <v>38</v>
      </c>
      <c r="P15" s="30"/>
      <c r="Q15" s="31" t="s">
        <v>29</v>
      </c>
      <c r="R15" s="32" t="s">
        <v>138</v>
      </c>
      <c r="S15" s="29" t="s">
        <v>263</v>
      </c>
      <c r="T15" s="32" t="s">
        <v>265</v>
      </c>
      <c r="U15" s="33" t="s">
        <v>110</v>
      </c>
    </row>
    <row r="16" spans="1:21" s="2" customFormat="1" ht="15" x14ac:dyDescent="0.2">
      <c r="A16" s="26" t="s">
        <v>224</v>
      </c>
      <c r="B16" s="26" t="s">
        <v>219</v>
      </c>
      <c r="C16" s="26" t="s">
        <v>235</v>
      </c>
      <c r="D16" s="27" t="s">
        <v>3</v>
      </c>
      <c r="E16" s="26">
        <v>50</v>
      </c>
      <c r="F16" s="26">
        <v>1</v>
      </c>
      <c r="G16" s="26" t="s">
        <v>254</v>
      </c>
      <c r="H16" s="26"/>
      <c r="I16" s="26" t="s">
        <v>239</v>
      </c>
      <c r="J16" s="28" t="s">
        <v>262</v>
      </c>
      <c r="K16" s="29"/>
      <c r="L16" s="29"/>
      <c r="M16" s="29"/>
      <c r="N16" s="29"/>
      <c r="O16" s="29" t="s">
        <v>38</v>
      </c>
      <c r="P16" s="30"/>
      <c r="Q16" s="31" t="s">
        <v>29</v>
      </c>
      <c r="R16" s="32" t="s">
        <v>138</v>
      </c>
      <c r="S16" s="29" t="s">
        <v>263</v>
      </c>
      <c r="T16" s="32" t="s">
        <v>224</v>
      </c>
      <c r="U16" s="33" t="s">
        <v>262</v>
      </c>
    </row>
    <row r="17" spans="1:21" s="2" customFormat="1" ht="15" x14ac:dyDescent="0.2">
      <c r="A17" s="26" t="s">
        <v>225</v>
      </c>
      <c r="B17" s="26" t="s">
        <v>220</v>
      </c>
      <c r="C17" s="26" t="s">
        <v>236</v>
      </c>
      <c r="D17" s="27" t="s">
        <v>3</v>
      </c>
      <c r="E17" s="26">
        <v>205</v>
      </c>
      <c r="F17" s="26">
        <v>1</v>
      </c>
      <c r="G17" s="26" t="s">
        <v>255</v>
      </c>
      <c r="H17" s="26"/>
      <c r="I17" s="26" t="s">
        <v>239</v>
      </c>
      <c r="J17" s="28" t="s">
        <v>262</v>
      </c>
      <c r="K17" s="29"/>
      <c r="L17" s="29"/>
      <c r="M17" s="29"/>
      <c r="N17" s="29"/>
      <c r="O17" s="29" t="s">
        <v>38</v>
      </c>
      <c r="P17" s="30"/>
      <c r="Q17" s="31" t="s">
        <v>29</v>
      </c>
      <c r="R17" s="32" t="s">
        <v>138</v>
      </c>
      <c r="S17" s="29" t="s">
        <v>263</v>
      </c>
      <c r="T17" s="32" t="s">
        <v>225</v>
      </c>
      <c r="U17" s="33" t="s">
        <v>262</v>
      </c>
    </row>
    <row r="18" spans="1:21" s="2" customFormat="1" ht="17.25" customHeight="1" x14ac:dyDescent="0.2">
      <c r="A18" s="26" t="s">
        <v>228</v>
      </c>
      <c r="B18" s="26" t="s">
        <v>218</v>
      </c>
      <c r="C18" s="26"/>
      <c r="D18" s="27" t="s">
        <v>3</v>
      </c>
      <c r="E18" s="26">
        <v>45</v>
      </c>
      <c r="F18" s="26">
        <v>1</v>
      </c>
      <c r="G18" s="26" t="s">
        <v>256</v>
      </c>
      <c r="H18" s="26"/>
      <c r="I18" s="26" t="s">
        <v>239</v>
      </c>
      <c r="J18" s="28" t="s">
        <v>262</v>
      </c>
      <c r="K18" s="29"/>
      <c r="L18" s="29"/>
      <c r="M18" s="29"/>
      <c r="N18" s="29"/>
      <c r="O18" s="29" t="s">
        <v>38</v>
      </c>
      <c r="P18" s="30"/>
      <c r="Q18" s="31" t="s">
        <v>29</v>
      </c>
      <c r="R18" s="32" t="s">
        <v>138</v>
      </c>
      <c r="S18" s="29" t="s">
        <v>263</v>
      </c>
      <c r="T18" s="32" t="s">
        <v>267</v>
      </c>
      <c r="U18" s="33" t="s">
        <v>262</v>
      </c>
    </row>
    <row r="19" spans="1:21" s="2" customFormat="1" ht="15" x14ac:dyDescent="0.2">
      <c r="A19" s="26" t="s">
        <v>226</v>
      </c>
      <c r="B19" s="26" t="s">
        <v>221</v>
      </c>
      <c r="C19" s="26"/>
      <c r="D19" s="27" t="s">
        <v>3</v>
      </c>
      <c r="E19" s="26">
        <v>3.5</v>
      </c>
      <c r="F19" s="26">
        <v>1</v>
      </c>
      <c r="G19" s="26" t="s">
        <v>257</v>
      </c>
      <c r="H19" s="26"/>
      <c r="I19" s="26" t="s">
        <v>239</v>
      </c>
      <c r="J19" s="28" t="s">
        <v>262</v>
      </c>
      <c r="K19" s="29"/>
      <c r="L19" s="29"/>
      <c r="M19" s="29"/>
      <c r="N19" s="29"/>
      <c r="O19" s="29" t="s">
        <v>38</v>
      </c>
      <c r="P19" s="30"/>
      <c r="Q19" s="31" t="s">
        <v>29</v>
      </c>
      <c r="R19" s="32" t="s">
        <v>138</v>
      </c>
      <c r="S19" s="29" t="s">
        <v>263</v>
      </c>
      <c r="T19" s="32" t="s">
        <v>226</v>
      </c>
      <c r="U19" s="33" t="s">
        <v>262</v>
      </c>
    </row>
    <row r="20" spans="1:21" s="2" customFormat="1" ht="15" x14ac:dyDescent="0.2">
      <c r="A20" s="26" t="s">
        <v>227</v>
      </c>
      <c r="B20" s="26" t="s">
        <v>222</v>
      </c>
      <c r="C20" s="26"/>
      <c r="D20" s="27" t="s">
        <v>3</v>
      </c>
      <c r="E20" s="26">
        <v>22</v>
      </c>
      <c r="F20" s="26">
        <v>1</v>
      </c>
      <c r="G20" s="26" t="s">
        <v>258</v>
      </c>
      <c r="H20" s="26"/>
      <c r="I20" s="26" t="s">
        <v>239</v>
      </c>
      <c r="J20" s="28" t="s">
        <v>262</v>
      </c>
      <c r="K20" s="29"/>
      <c r="L20" s="29"/>
      <c r="M20" s="29"/>
      <c r="N20" s="29"/>
      <c r="O20" s="29" t="s">
        <v>38</v>
      </c>
      <c r="P20" s="30"/>
      <c r="Q20" s="31" t="s">
        <v>29</v>
      </c>
      <c r="R20" s="32" t="s">
        <v>138</v>
      </c>
      <c r="S20" s="29" t="s">
        <v>263</v>
      </c>
      <c r="T20" s="32" t="s">
        <v>227</v>
      </c>
      <c r="U20" s="33" t="s">
        <v>262</v>
      </c>
    </row>
    <row r="21" spans="1:21" s="2" customFormat="1" ht="15" x14ac:dyDescent="0.2">
      <c r="A21" s="26" t="s">
        <v>229</v>
      </c>
      <c r="B21" s="26" t="s">
        <v>223</v>
      </c>
      <c r="C21" s="26"/>
      <c r="D21" s="27" t="s">
        <v>3</v>
      </c>
      <c r="E21" s="26">
        <v>49</v>
      </c>
      <c r="F21" s="26">
        <v>1</v>
      </c>
      <c r="G21" s="26" t="s">
        <v>259</v>
      </c>
      <c r="H21" s="26"/>
      <c r="I21" s="26" t="s">
        <v>239</v>
      </c>
      <c r="J21" s="28" t="s">
        <v>262</v>
      </c>
      <c r="K21" s="29"/>
      <c r="L21" s="29"/>
      <c r="M21" s="29"/>
      <c r="N21" s="29"/>
      <c r="O21" s="29" t="s">
        <v>38</v>
      </c>
      <c r="P21" s="30"/>
      <c r="Q21" s="31" t="s">
        <v>29</v>
      </c>
      <c r="R21" s="32" t="s">
        <v>138</v>
      </c>
      <c r="S21" s="29" t="s">
        <v>263</v>
      </c>
      <c r="T21" s="32" t="s">
        <v>266</v>
      </c>
      <c r="U21" s="33" t="s">
        <v>262</v>
      </c>
    </row>
    <row r="22" spans="1:21" s="2" customFormat="1" ht="16.5" customHeight="1" x14ac:dyDescent="0.2">
      <c r="A22" s="26" t="s">
        <v>230</v>
      </c>
      <c r="B22" s="26" t="s">
        <v>230</v>
      </c>
      <c r="C22" s="26"/>
      <c r="D22" s="27"/>
      <c r="E22" s="26" t="s">
        <v>247</v>
      </c>
      <c r="F22" s="26">
        <v>1</v>
      </c>
      <c r="G22" s="26"/>
      <c r="H22" s="26" t="s">
        <v>245</v>
      </c>
      <c r="I22" s="26"/>
      <c r="J22" s="28" t="s">
        <v>14</v>
      </c>
      <c r="K22" s="29">
        <v>10</v>
      </c>
      <c r="L22" s="29"/>
      <c r="M22" s="29"/>
      <c r="N22" s="29"/>
      <c r="O22" s="29" t="s">
        <v>38</v>
      </c>
      <c r="P22" s="30"/>
      <c r="Q22" s="31" t="s">
        <v>29</v>
      </c>
      <c r="R22" s="32" t="s">
        <v>138</v>
      </c>
      <c r="S22" s="29" t="s">
        <v>264</v>
      </c>
      <c r="T22" s="32" t="s">
        <v>230</v>
      </c>
      <c r="U22" s="33" t="s">
        <v>262</v>
      </c>
    </row>
    <row r="23" spans="1:21" s="2" customFormat="1" ht="15" x14ac:dyDescent="0.2">
      <c r="A23" s="26" t="s">
        <v>231</v>
      </c>
      <c r="B23" s="26" t="s">
        <v>232</v>
      </c>
      <c r="C23" s="26"/>
      <c r="D23" s="27" t="s">
        <v>3</v>
      </c>
      <c r="E23" s="26" t="s">
        <v>243</v>
      </c>
      <c r="F23" s="26">
        <v>1</v>
      </c>
      <c r="G23" s="26" t="s">
        <v>244</v>
      </c>
      <c r="H23" s="26"/>
      <c r="I23" s="26"/>
      <c r="J23" s="28" t="s">
        <v>110</v>
      </c>
      <c r="K23" s="29">
        <v>45</v>
      </c>
      <c r="L23" s="29"/>
      <c r="M23" s="29"/>
      <c r="N23" s="29"/>
      <c r="O23" s="29" t="s">
        <v>38</v>
      </c>
      <c r="P23" s="30"/>
      <c r="Q23" s="31" t="s">
        <v>29</v>
      </c>
      <c r="R23" s="32" t="s">
        <v>138</v>
      </c>
      <c r="S23" s="29" t="s">
        <v>264</v>
      </c>
      <c r="T23" s="32" t="s">
        <v>232</v>
      </c>
      <c r="U23" s="33" t="s">
        <v>110</v>
      </c>
    </row>
    <row r="24" spans="1:21" s="2" customFormat="1" ht="15" x14ac:dyDescent="0.2">
      <c r="A24" s="27" t="s">
        <v>128</v>
      </c>
      <c r="B24" s="27" t="s">
        <v>128</v>
      </c>
      <c r="C24" s="26" t="s">
        <v>129</v>
      </c>
      <c r="D24" s="27" t="s">
        <v>3</v>
      </c>
      <c r="E24" s="26" t="s">
        <v>130</v>
      </c>
      <c r="F24" s="26" t="s">
        <v>260</v>
      </c>
      <c r="G24" s="26" t="s">
        <v>59</v>
      </c>
      <c r="H24" s="26" t="s">
        <v>167</v>
      </c>
      <c r="I24" s="26"/>
      <c r="J24" s="28" t="s">
        <v>14</v>
      </c>
      <c r="K24" s="29">
        <v>10</v>
      </c>
      <c r="L24" s="29"/>
      <c r="M24" s="29"/>
      <c r="N24" s="29"/>
      <c r="O24" s="29" t="s">
        <v>38</v>
      </c>
      <c r="P24" s="30"/>
      <c r="Q24" s="31" t="s">
        <v>75</v>
      </c>
      <c r="R24" s="32" t="s">
        <v>137</v>
      </c>
      <c r="S24" s="29" t="s">
        <v>96</v>
      </c>
      <c r="T24" s="29" t="s">
        <v>128</v>
      </c>
      <c r="U24" s="30" t="s">
        <v>14</v>
      </c>
    </row>
    <row r="25" spans="1:21" s="2" customFormat="1" ht="15" x14ac:dyDescent="0.2">
      <c r="A25" s="26" t="s">
        <v>131</v>
      </c>
      <c r="B25" s="26" t="s">
        <v>131</v>
      </c>
      <c r="C25" s="26" t="s">
        <v>136</v>
      </c>
      <c r="D25" s="34">
        <v>1</v>
      </c>
      <c r="E25" s="35">
        <v>40567</v>
      </c>
      <c r="F25" s="26" t="s">
        <v>28</v>
      </c>
      <c r="G25" s="26" t="s">
        <v>59</v>
      </c>
      <c r="H25" s="26" t="s">
        <v>167</v>
      </c>
      <c r="I25" s="26"/>
      <c r="J25" s="28" t="s">
        <v>30</v>
      </c>
      <c r="K25" s="29"/>
      <c r="L25" s="29"/>
      <c r="M25" s="29"/>
      <c r="N25" s="29"/>
      <c r="O25" s="29" t="s">
        <v>38</v>
      </c>
      <c r="P25" s="36">
        <v>1</v>
      </c>
      <c r="Q25" s="31" t="s">
        <v>75</v>
      </c>
      <c r="R25" s="32" t="s">
        <v>137</v>
      </c>
      <c r="S25" s="29" t="s">
        <v>96</v>
      </c>
      <c r="T25" s="29" t="s">
        <v>131</v>
      </c>
      <c r="U25" s="30" t="s">
        <v>30</v>
      </c>
    </row>
    <row r="26" spans="1:21" s="2" customFormat="1" ht="15" x14ac:dyDescent="0.2">
      <c r="A26" s="26" t="s">
        <v>132</v>
      </c>
      <c r="B26" s="26" t="s">
        <v>132</v>
      </c>
      <c r="C26" s="26" t="s">
        <v>135</v>
      </c>
      <c r="D26" s="34">
        <v>109574</v>
      </c>
      <c r="E26" s="26" t="s">
        <v>133</v>
      </c>
      <c r="F26" s="26" t="s">
        <v>28</v>
      </c>
      <c r="G26" s="26" t="s">
        <v>59</v>
      </c>
      <c r="H26" s="26" t="s">
        <v>167</v>
      </c>
      <c r="I26" s="26"/>
      <c r="J26" s="28" t="s">
        <v>30</v>
      </c>
      <c r="K26" s="29"/>
      <c r="L26" s="29"/>
      <c r="M26" s="29"/>
      <c r="N26" s="29"/>
      <c r="O26" s="29" t="s">
        <v>38</v>
      </c>
      <c r="P26" s="36">
        <v>109574</v>
      </c>
      <c r="Q26" s="31" t="s">
        <v>75</v>
      </c>
      <c r="R26" s="32" t="s">
        <v>137</v>
      </c>
      <c r="S26" s="29" t="s">
        <v>96</v>
      </c>
      <c r="T26" s="29" t="s">
        <v>132</v>
      </c>
      <c r="U26" s="30" t="s">
        <v>30</v>
      </c>
    </row>
    <row r="27" spans="1:21" ht="15" x14ac:dyDescent="0.3">
      <c r="A27" s="22"/>
      <c r="B27" s="22"/>
      <c r="C27" s="22"/>
      <c r="D27" s="22"/>
      <c r="E27" s="23"/>
      <c r="F27" s="23"/>
      <c r="G27" s="22"/>
      <c r="H27" s="22"/>
      <c r="I27" s="22"/>
      <c r="J27" s="22"/>
      <c r="K27" s="22"/>
      <c r="L27" s="22"/>
      <c r="M27" s="22"/>
      <c r="N27" s="22"/>
      <c r="O27" s="22"/>
      <c r="P27" s="22"/>
      <c r="Q27" s="22"/>
      <c r="R27" s="22"/>
      <c r="S27" s="22"/>
      <c r="T27" s="22"/>
      <c r="U27" s="22"/>
    </row>
    <row r="28" spans="1:21" ht="15" x14ac:dyDescent="0.3">
      <c r="A28" s="22"/>
      <c r="B28" s="22"/>
      <c r="C28" s="22"/>
      <c r="D28" s="22"/>
      <c r="E28" s="23"/>
      <c r="F28" s="23"/>
      <c r="G28" s="22"/>
      <c r="H28" s="22"/>
      <c r="I28" s="22"/>
      <c r="J28" s="22"/>
      <c r="K28" s="22"/>
      <c r="L28" s="22"/>
      <c r="M28" s="22"/>
      <c r="N28" s="22"/>
      <c r="O28" s="22"/>
      <c r="P28" s="22"/>
      <c r="Q28" s="22"/>
      <c r="R28" s="22"/>
      <c r="S28" s="22"/>
      <c r="T28" s="22"/>
      <c r="U28" s="22"/>
    </row>
    <row r="29" spans="1:21" ht="15" x14ac:dyDescent="0.3">
      <c r="A29" s="22"/>
      <c r="B29" s="22"/>
      <c r="C29" s="22"/>
      <c r="D29" s="22"/>
      <c r="E29" s="23"/>
      <c r="F29" s="23"/>
      <c r="G29" s="22"/>
      <c r="H29" s="22"/>
      <c r="I29" s="22"/>
      <c r="J29" s="22"/>
      <c r="K29" s="22"/>
      <c r="L29" s="22"/>
      <c r="M29" s="22"/>
      <c r="N29" s="22"/>
      <c r="O29" s="22"/>
      <c r="P29" s="22"/>
      <c r="Q29" s="22"/>
      <c r="R29" s="22"/>
      <c r="S29" s="22"/>
      <c r="T29" s="22"/>
      <c r="U29" s="22"/>
    </row>
    <row r="30" spans="1:21" ht="15" x14ac:dyDescent="0.3">
      <c r="A30" s="22"/>
      <c r="B30" s="22"/>
      <c r="C30" s="22"/>
      <c r="D30" s="22"/>
      <c r="E30" s="23"/>
      <c r="F30" s="23"/>
      <c r="G30" s="22"/>
      <c r="H30" s="22"/>
      <c r="I30" s="22"/>
      <c r="J30" s="22"/>
      <c r="K30" s="22"/>
      <c r="L30" s="22"/>
      <c r="M30" s="22"/>
      <c r="N30" s="22"/>
      <c r="O30" s="22"/>
      <c r="P30" s="22"/>
      <c r="Q30" s="22"/>
      <c r="R30" s="22"/>
      <c r="S30" s="22"/>
      <c r="T30" s="22"/>
      <c r="U30" s="22"/>
    </row>
    <row r="31" spans="1:21" ht="15" x14ac:dyDescent="0.3">
      <c r="A31" s="22"/>
      <c r="B31" s="22"/>
      <c r="C31" s="22"/>
      <c r="D31" s="22"/>
      <c r="E31" s="23"/>
      <c r="F31" s="23"/>
      <c r="G31" s="22"/>
      <c r="H31" s="22"/>
      <c r="I31" s="22"/>
      <c r="J31" s="22"/>
      <c r="K31" s="22"/>
      <c r="L31" s="22"/>
      <c r="M31" s="22"/>
      <c r="N31" s="22"/>
      <c r="O31" s="22"/>
      <c r="P31" s="22"/>
      <c r="Q31" s="22"/>
      <c r="R31" s="22"/>
      <c r="S31" s="22"/>
      <c r="T31" s="22"/>
      <c r="U31" s="22"/>
    </row>
    <row r="32" spans="1:21" ht="15" x14ac:dyDescent="0.3">
      <c r="A32" s="22"/>
      <c r="B32" s="22"/>
      <c r="C32" s="22"/>
      <c r="D32" s="22"/>
      <c r="E32" s="23"/>
      <c r="F32" s="23"/>
      <c r="G32" s="22"/>
      <c r="H32" s="22"/>
      <c r="I32" s="22"/>
      <c r="J32" s="22"/>
      <c r="K32" s="22"/>
      <c r="L32" s="22"/>
      <c r="M32" s="22"/>
      <c r="N32" s="22"/>
      <c r="O32" s="22"/>
      <c r="P32" s="22"/>
      <c r="Q32" s="22"/>
      <c r="R32" s="22"/>
      <c r="S32" s="22"/>
      <c r="T32" s="22"/>
      <c r="U32" s="22"/>
    </row>
    <row r="33" spans="1:21" ht="15" x14ac:dyDescent="0.3">
      <c r="A33" s="22"/>
      <c r="B33" s="22"/>
      <c r="C33" s="22"/>
      <c r="D33" s="22"/>
      <c r="E33" s="23"/>
      <c r="F33" s="23"/>
      <c r="G33" s="22"/>
      <c r="H33" s="22"/>
      <c r="I33" s="22"/>
      <c r="J33" s="22"/>
      <c r="K33" s="22"/>
      <c r="L33" s="22"/>
      <c r="M33" s="22"/>
      <c r="N33" s="22"/>
      <c r="O33" s="22"/>
      <c r="P33" s="22"/>
      <c r="Q33" s="22"/>
      <c r="R33" s="22"/>
      <c r="S33" s="22"/>
      <c r="T33" s="22"/>
      <c r="U33" s="22"/>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43.5703125" style="4" customWidth="1"/>
    <col min="4" max="4" width="17.28515625" style="4" bestFit="1" customWidth="1"/>
    <col min="5" max="5" width="18.85546875" style="3" bestFit="1" customWidth="1"/>
    <col min="6" max="6" width="9.42578125" style="3" bestFit="1" customWidth="1"/>
    <col min="7" max="7" width="33.28515625" style="4" bestFit="1" customWidth="1"/>
    <col min="8" max="8" width="31.5703125" style="4" customWidth="1"/>
    <col min="9" max="9" width="37" style="4" customWidth="1"/>
    <col min="10" max="10" width="8.85546875" style="4" bestFit="1" customWidth="1"/>
    <col min="11" max="11" width="4.28515625" style="4" bestFit="1" customWidth="1"/>
    <col min="12" max="12" width="7.85546875" style="4" customWidth="1"/>
    <col min="13" max="13" width="5.85546875" style="4" bestFit="1" customWidth="1"/>
    <col min="14" max="14" width="13.85546875" style="4" bestFit="1" customWidth="1"/>
    <col min="15" max="15" width="6.5703125" style="4" bestFit="1" customWidth="1"/>
    <col min="16" max="16" width="13.28515625" style="4" bestFit="1" customWidth="1"/>
    <col min="17" max="17" width="13.7109375" style="4" bestFit="1" customWidth="1"/>
    <col min="18" max="18" width="14.140625" style="4" bestFit="1" customWidth="1"/>
    <col min="19" max="19" width="13.42578125" style="4" bestFit="1" customWidth="1"/>
    <col min="20" max="20" width="17" style="4" bestFit="1" customWidth="1"/>
    <col min="21" max="21" width="15.85546875" style="4" bestFit="1" customWidth="1"/>
    <col min="22" max="16384" width="9.140625" style="4"/>
  </cols>
  <sheetData>
    <row r="1" spans="1:21" s="5" customFormat="1" ht="18.75" x14ac:dyDescent="0.3">
      <c r="A1" s="56" t="s">
        <v>10</v>
      </c>
      <c r="B1" s="22" t="s">
        <v>143</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143</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90</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90</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46"/>
      <c r="I11" s="45"/>
      <c r="J11" s="73" t="s">
        <v>19</v>
      </c>
      <c r="K11" s="74"/>
      <c r="L11" s="74"/>
      <c r="M11" s="74"/>
      <c r="N11" s="74"/>
      <c r="O11" s="74"/>
      <c r="P11" s="75"/>
      <c r="Q11" s="76" t="s">
        <v>20</v>
      </c>
      <c r="R11" s="77"/>
      <c r="S11" s="77"/>
      <c r="T11" s="77"/>
      <c r="U11" s="78"/>
    </row>
    <row r="12" spans="1:21" s="44" customFormat="1" ht="26.25" customHeight="1" x14ac:dyDescent="0.2">
      <c r="A12" s="45" t="s">
        <v>11</v>
      </c>
      <c r="B12" s="45" t="s">
        <v>44</v>
      </c>
      <c r="C12" s="45" t="s">
        <v>17</v>
      </c>
      <c r="D12" s="45" t="s">
        <v>2</v>
      </c>
      <c r="E12" s="45" t="s">
        <v>21</v>
      </c>
      <c r="F12" s="45" t="s">
        <v>27</v>
      </c>
      <c r="G12" s="45" t="s">
        <v>274</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145</v>
      </c>
      <c r="B13" s="26" t="s">
        <v>145</v>
      </c>
      <c r="C13" s="26" t="s">
        <v>147</v>
      </c>
      <c r="D13" s="27">
        <v>-1</v>
      </c>
      <c r="E13" s="26" t="s">
        <v>4</v>
      </c>
      <c r="F13" s="26" t="s">
        <v>61</v>
      </c>
      <c r="G13" s="26" t="s">
        <v>100</v>
      </c>
      <c r="H13" s="26" t="s">
        <v>168</v>
      </c>
      <c r="I13" s="26"/>
      <c r="J13" s="28" t="s">
        <v>14</v>
      </c>
      <c r="K13" s="29">
        <v>10</v>
      </c>
      <c r="L13" s="29"/>
      <c r="M13" s="29" t="s">
        <v>105</v>
      </c>
      <c r="N13" s="29"/>
      <c r="O13" s="29" t="s">
        <v>15</v>
      </c>
      <c r="P13" s="30"/>
      <c r="Q13" s="31" t="s">
        <v>75</v>
      </c>
      <c r="R13" s="32" t="s">
        <v>137</v>
      </c>
      <c r="S13" s="29"/>
      <c r="T13" s="32"/>
      <c r="U13" s="33"/>
    </row>
    <row r="14" spans="1:21" s="2" customFormat="1" ht="18" customHeight="1" x14ac:dyDescent="0.2">
      <c r="A14" s="26" t="s">
        <v>146</v>
      </c>
      <c r="B14" s="26" t="s">
        <v>146</v>
      </c>
      <c r="C14" s="26" t="s">
        <v>50</v>
      </c>
      <c r="D14" s="27">
        <v>-1</v>
      </c>
      <c r="E14" s="26" t="s">
        <v>80</v>
      </c>
      <c r="F14" s="26" t="s">
        <v>61</v>
      </c>
      <c r="G14" s="26" t="s">
        <v>100</v>
      </c>
      <c r="H14" s="26" t="s">
        <v>169</v>
      </c>
      <c r="I14" s="26"/>
      <c r="J14" s="28" t="s">
        <v>14</v>
      </c>
      <c r="K14" s="29">
        <v>10</v>
      </c>
      <c r="L14" s="29"/>
      <c r="M14" s="29"/>
      <c r="N14" s="29"/>
      <c r="O14" s="29" t="s">
        <v>38</v>
      </c>
      <c r="P14" s="30"/>
      <c r="Q14" s="31" t="s">
        <v>29</v>
      </c>
      <c r="R14" s="32" t="s">
        <v>138</v>
      </c>
      <c r="S14" s="29" t="s">
        <v>170</v>
      </c>
      <c r="T14" s="32" t="s">
        <v>146</v>
      </c>
      <c r="U14" s="33" t="s">
        <v>14</v>
      </c>
    </row>
    <row r="15" spans="1:21" s="2" customFormat="1" ht="15" x14ac:dyDescent="0.2">
      <c r="A15" s="26" t="s">
        <v>156</v>
      </c>
      <c r="B15" s="26" t="s">
        <v>159</v>
      </c>
      <c r="C15" s="26" t="s">
        <v>162</v>
      </c>
      <c r="D15" s="27" t="s">
        <v>3</v>
      </c>
      <c r="E15" s="26" t="s">
        <v>165</v>
      </c>
      <c r="F15" s="26"/>
      <c r="G15" s="26" t="s">
        <v>188</v>
      </c>
      <c r="H15" s="26"/>
      <c r="I15" s="26"/>
      <c r="J15" s="28" t="s">
        <v>110</v>
      </c>
      <c r="K15" s="29">
        <v>100</v>
      </c>
      <c r="L15" s="29"/>
      <c r="M15" s="29"/>
      <c r="N15" s="29"/>
      <c r="O15" s="29" t="s">
        <v>38</v>
      </c>
      <c r="P15" s="30"/>
      <c r="Q15" s="31" t="s">
        <v>29</v>
      </c>
      <c r="R15" s="32" t="s">
        <v>138</v>
      </c>
      <c r="S15" s="29" t="s">
        <v>170</v>
      </c>
      <c r="T15" s="32" t="s">
        <v>156</v>
      </c>
      <c r="U15" s="33" t="s">
        <v>140</v>
      </c>
    </row>
    <row r="16" spans="1:21" s="2" customFormat="1" ht="15" x14ac:dyDescent="0.2">
      <c r="A16" s="26" t="s">
        <v>157</v>
      </c>
      <c r="B16" s="26" t="s">
        <v>160</v>
      </c>
      <c r="C16" s="26" t="s">
        <v>163</v>
      </c>
      <c r="D16" s="27" t="s">
        <v>3</v>
      </c>
      <c r="E16" s="26" t="s">
        <v>123</v>
      </c>
      <c r="F16" s="26"/>
      <c r="G16" s="26" t="s">
        <v>188</v>
      </c>
      <c r="H16" s="26"/>
      <c r="I16" s="26"/>
      <c r="J16" s="28" t="s">
        <v>110</v>
      </c>
      <c r="K16" s="29">
        <v>45</v>
      </c>
      <c r="L16" s="29"/>
      <c r="M16" s="29"/>
      <c r="N16" s="29"/>
      <c r="O16" s="29" t="s">
        <v>38</v>
      </c>
      <c r="P16" s="30"/>
      <c r="Q16" s="31" t="s">
        <v>29</v>
      </c>
      <c r="R16" s="32" t="s">
        <v>138</v>
      </c>
      <c r="S16" s="29" t="s">
        <v>170</v>
      </c>
      <c r="T16" s="32" t="s">
        <v>157</v>
      </c>
      <c r="U16" s="33" t="s">
        <v>140</v>
      </c>
    </row>
    <row r="17" spans="1:21" s="2" customFormat="1" ht="15" x14ac:dyDescent="0.2">
      <c r="A17" s="26" t="s">
        <v>158</v>
      </c>
      <c r="B17" s="26" t="s">
        <v>161</v>
      </c>
      <c r="C17" s="26" t="s">
        <v>164</v>
      </c>
      <c r="D17" s="27" t="s">
        <v>3</v>
      </c>
      <c r="E17" s="26" t="s">
        <v>166</v>
      </c>
      <c r="F17" s="26"/>
      <c r="G17" s="26" t="s">
        <v>188</v>
      </c>
      <c r="H17" s="26"/>
      <c r="I17" s="26"/>
      <c r="J17" s="28" t="s">
        <v>110</v>
      </c>
      <c r="K17" s="29">
        <v>45</v>
      </c>
      <c r="L17" s="29"/>
      <c r="M17" s="29"/>
      <c r="N17" s="29"/>
      <c r="O17" s="29" t="s">
        <v>38</v>
      </c>
      <c r="P17" s="30"/>
      <c r="Q17" s="31" t="s">
        <v>29</v>
      </c>
      <c r="R17" s="32" t="s">
        <v>138</v>
      </c>
      <c r="S17" s="29" t="s">
        <v>170</v>
      </c>
      <c r="T17" s="32" t="s">
        <v>158</v>
      </c>
      <c r="U17" s="33" t="s">
        <v>140</v>
      </c>
    </row>
    <row r="18" spans="1:21" s="2" customFormat="1" ht="15" x14ac:dyDescent="0.2">
      <c r="A18" s="27" t="s">
        <v>128</v>
      </c>
      <c r="B18" s="27" t="s">
        <v>128</v>
      </c>
      <c r="C18" s="26" t="s">
        <v>129</v>
      </c>
      <c r="D18" s="27" t="s">
        <v>3</v>
      </c>
      <c r="E18" s="26" t="s">
        <v>130</v>
      </c>
      <c r="F18" s="26">
        <v>2</v>
      </c>
      <c r="G18" s="26" t="s">
        <v>59</v>
      </c>
      <c r="H18" s="26" t="s">
        <v>167</v>
      </c>
      <c r="I18" s="26"/>
      <c r="J18" s="28" t="s">
        <v>14</v>
      </c>
      <c r="K18" s="29">
        <v>10</v>
      </c>
      <c r="L18" s="29"/>
      <c r="M18" s="29"/>
      <c r="N18" s="29"/>
      <c r="O18" s="29" t="s">
        <v>38</v>
      </c>
      <c r="P18" s="30"/>
      <c r="Q18" s="31" t="s">
        <v>75</v>
      </c>
      <c r="R18" s="32" t="s">
        <v>137</v>
      </c>
      <c r="S18" s="29" t="s">
        <v>143</v>
      </c>
      <c r="T18" s="29" t="s">
        <v>128</v>
      </c>
      <c r="U18" s="30" t="s">
        <v>14</v>
      </c>
    </row>
    <row r="19" spans="1:21" s="2" customFormat="1" ht="15" x14ac:dyDescent="0.2">
      <c r="A19" s="26" t="s">
        <v>131</v>
      </c>
      <c r="B19" s="26" t="s">
        <v>131</v>
      </c>
      <c r="C19" s="26" t="s">
        <v>136</v>
      </c>
      <c r="D19" s="34">
        <v>1</v>
      </c>
      <c r="E19" s="35">
        <v>40567</v>
      </c>
      <c r="F19" s="26" t="s">
        <v>28</v>
      </c>
      <c r="G19" s="26" t="s">
        <v>59</v>
      </c>
      <c r="H19" s="26" t="s">
        <v>167</v>
      </c>
      <c r="I19" s="26"/>
      <c r="J19" s="28" t="s">
        <v>30</v>
      </c>
      <c r="K19" s="29"/>
      <c r="L19" s="29"/>
      <c r="M19" s="29"/>
      <c r="N19" s="29"/>
      <c r="O19" s="29" t="s">
        <v>38</v>
      </c>
      <c r="P19" s="36">
        <v>1</v>
      </c>
      <c r="Q19" s="31" t="s">
        <v>75</v>
      </c>
      <c r="R19" s="32" t="s">
        <v>137</v>
      </c>
      <c r="S19" s="29" t="s">
        <v>143</v>
      </c>
      <c r="T19" s="29" t="s">
        <v>131</v>
      </c>
      <c r="U19" s="30" t="s">
        <v>30</v>
      </c>
    </row>
    <row r="20" spans="1:21" s="2" customFormat="1" ht="13.5" customHeight="1" x14ac:dyDescent="0.2">
      <c r="A20" s="26" t="s">
        <v>132</v>
      </c>
      <c r="B20" s="26" t="s">
        <v>132</v>
      </c>
      <c r="C20" s="26" t="s">
        <v>135</v>
      </c>
      <c r="D20" s="34">
        <v>109574</v>
      </c>
      <c r="E20" s="26" t="s">
        <v>133</v>
      </c>
      <c r="F20" s="26" t="s">
        <v>28</v>
      </c>
      <c r="G20" s="26" t="s">
        <v>59</v>
      </c>
      <c r="H20" s="26" t="s">
        <v>167</v>
      </c>
      <c r="I20" s="26"/>
      <c r="J20" s="28" t="s">
        <v>30</v>
      </c>
      <c r="K20" s="29"/>
      <c r="L20" s="29"/>
      <c r="M20" s="29"/>
      <c r="N20" s="29"/>
      <c r="O20" s="29" t="s">
        <v>38</v>
      </c>
      <c r="P20" s="36">
        <v>109574</v>
      </c>
      <c r="Q20" s="31" t="s">
        <v>75</v>
      </c>
      <c r="R20" s="32" t="s">
        <v>137</v>
      </c>
      <c r="S20" s="29" t="s">
        <v>96</v>
      </c>
      <c r="T20" s="29" t="s">
        <v>132</v>
      </c>
      <c r="U20" s="30" t="s">
        <v>30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32.5703125" style="4" customWidth="1"/>
    <col min="4" max="4" width="9.7109375" style="4" hidden="1" customWidth="1"/>
    <col min="5" max="5" width="18.85546875" style="3" customWidth="1"/>
    <col min="6" max="6" width="4.42578125" style="3" hidden="1" customWidth="1"/>
    <col min="7" max="7" width="36.42578125" style="4" customWidth="1"/>
    <col min="8" max="8" width="51.140625" style="4" customWidth="1"/>
    <col min="9" max="9" width="37" style="4" customWidth="1"/>
    <col min="10" max="10" width="9.42578125" style="4" customWidth="1"/>
    <col min="11" max="11" width="4.42578125" style="4" bestFit="1" customWidth="1"/>
    <col min="12" max="12" width="9.140625" style="4" bestFit="1" customWidth="1"/>
    <col min="13" max="13" width="5" style="4" bestFit="1" customWidth="1"/>
    <col min="14" max="14" width="24.85546875" style="4" bestFit="1" customWidth="1"/>
    <col min="15" max="15" width="9.140625" style="4" customWidth="1"/>
    <col min="16" max="16" width="13.28515625" style="4" bestFit="1" customWidth="1"/>
    <col min="17" max="17" width="13.85546875" style="4" bestFit="1" customWidth="1"/>
    <col min="18" max="18" width="14.42578125" style="4" bestFit="1" customWidth="1"/>
    <col min="19" max="19" width="12.28515625" style="4" bestFit="1" customWidth="1"/>
    <col min="20" max="20" width="17.7109375" style="4" bestFit="1" customWidth="1"/>
    <col min="21" max="21" width="15.85546875" style="4" bestFit="1" customWidth="1"/>
    <col min="22" max="16384" width="9.140625" style="4"/>
  </cols>
  <sheetData>
    <row r="1" spans="1:21" s="5" customFormat="1" ht="18.75" x14ac:dyDescent="0.3">
      <c r="A1" s="56" t="s">
        <v>10</v>
      </c>
      <c r="B1" s="22" t="s">
        <v>70</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18</v>
      </c>
      <c r="C2" s="19"/>
      <c r="D2" s="19"/>
      <c r="E2" s="21"/>
      <c r="F2" s="21"/>
      <c r="G2" s="19"/>
      <c r="H2" s="19"/>
      <c r="I2" s="19"/>
      <c r="J2" s="19"/>
      <c r="K2" s="19"/>
      <c r="L2" s="19"/>
      <c r="M2" s="19"/>
      <c r="N2" s="19"/>
      <c r="O2" s="19"/>
      <c r="P2" s="19"/>
      <c r="Q2" s="19"/>
      <c r="R2" s="19"/>
      <c r="S2" s="19"/>
      <c r="T2" s="19"/>
      <c r="U2" s="19"/>
    </row>
    <row r="3" spans="1:21" ht="15" x14ac:dyDescent="0.3">
      <c r="A3" s="57" t="s">
        <v>44</v>
      </c>
      <c r="B3" s="22" t="s">
        <v>144</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150</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68</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t="s">
        <v>76</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62" customFormat="1" ht="13.5" customHeight="1" x14ac:dyDescent="0.2">
      <c r="E11" s="64"/>
      <c r="F11" s="64"/>
      <c r="H11" s="46"/>
      <c r="I11" s="64"/>
      <c r="J11" s="73" t="s">
        <v>19</v>
      </c>
      <c r="K11" s="74"/>
      <c r="L11" s="74"/>
      <c r="M11" s="74"/>
      <c r="N11" s="74"/>
      <c r="O11" s="74"/>
      <c r="P11" s="75"/>
      <c r="Q11" s="76" t="s">
        <v>20</v>
      </c>
      <c r="R11" s="77"/>
      <c r="S11" s="77"/>
      <c r="T11" s="77"/>
      <c r="U11" s="78"/>
    </row>
    <row r="12" spans="1:21" s="62" customFormat="1" ht="23.25" customHeight="1" x14ac:dyDescent="0.2">
      <c r="A12" s="64" t="s">
        <v>11</v>
      </c>
      <c r="B12" s="64" t="s">
        <v>44</v>
      </c>
      <c r="C12" s="64" t="s">
        <v>17</v>
      </c>
      <c r="D12" s="64" t="s">
        <v>2</v>
      </c>
      <c r="E12" s="64" t="s">
        <v>21</v>
      </c>
      <c r="F12" s="64" t="s">
        <v>27</v>
      </c>
      <c r="G12" s="64" t="s">
        <v>55</v>
      </c>
      <c r="H12" s="64" t="s">
        <v>37</v>
      </c>
      <c r="I12" s="64" t="s">
        <v>24</v>
      </c>
      <c r="J12" s="61" t="s">
        <v>22</v>
      </c>
      <c r="K12" s="62" t="s">
        <v>16</v>
      </c>
      <c r="L12" s="62" t="s">
        <v>23</v>
      </c>
      <c r="M12" s="62" t="s">
        <v>12</v>
      </c>
      <c r="N12" s="62" t="s">
        <v>25</v>
      </c>
      <c r="O12" s="62" t="s">
        <v>13</v>
      </c>
      <c r="P12" s="65" t="s">
        <v>26</v>
      </c>
      <c r="Q12" s="63" t="s">
        <v>39</v>
      </c>
      <c r="R12" s="62" t="s">
        <v>40</v>
      </c>
      <c r="S12" s="62" t="s">
        <v>41</v>
      </c>
      <c r="T12" s="62" t="s">
        <v>42</v>
      </c>
      <c r="U12" s="65" t="s">
        <v>33</v>
      </c>
    </row>
    <row r="13" spans="1:21" s="2" customFormat="1" ht="15" x14ac:dyDescent="0.2">
      <c r="A13" s="26" t="s">
        <v>154</v>
      </c>
      <c r="B13" s="26" t="s">
        <v>154</v>
      </c>
      <c r="C13" s="26" t="s">
        <v>74</v>
      </c>
      <c r="D13" s="27"/>
      <c r="E13" s="26" t="s">
        <v>7</v>
      </c>
      <c r="F13" s="26"/>
      <c r="G13" s="26" t="s">
        <v>271</v>
      </c>
      <c r="H13" s="26" t="s">
        <v>270</v>
      </c>
      <c r="I13" s="26"/>
      <c r="J13" s="28" t="s">
        <v>14</v>
      </c>
      <c r="K13" s="29">
        <v>10</v>
      </c>
      <c r="L13" s="29"/>
      <c r="M13" s="29" t="s">
        <v>32</v>
      </c>
      <c r="N13" s="29" t="s">
        <v>149</v>
      </c>
      <c r="O13" s="29" t="s">
        <v>38</v>
      </c>
      <c r="P13" s="30">
        <v>0</v>
      </c>
      <c r="Q13" s="31" t="s">
        <v>75</v>
      </c>
      <c r="R13" s="32"/>
      <c r="S13" s="29"/>
      <c r="T13" s="32"/>
      <c r="U13" s="33"/>
    </row>
    <row r="14" spans="1:21" s="2" customFormat="1" ht="17.25" customHeight="1" x14ac:dyDescent="0.2">
      <c r="A14" s="26" t="s">
        <v>98</v>
      </c>
      <c r="B14" s="26" t="s">
        <v>98</v>
      </c>
      <c r="C14" s="26" t="s">
        <v>69</v>
      </c>
      <c r="D14" s="27"/>
      <c r="E14" s="26" t="s">
        <v>82</v>
      </c>
      <c r="F14" s="26"/>
      <c r="G14" s="26" t="s">
        <v>271</v>
      </c>
      <c r="H14" s="26" t="s">
        <v>148</v>
      </c>
      <c r="I14" s="26"/>
      <c r="J14" s="28" t="s">
        <v>14</v>
      </c>
      <c r="K14" s="29">
        <v>10</v>
      </c>
      <c r="L14" s="29"/>
      <c r="M14" s="29" t="s">
        <v>32</v>
      </c>
      <c r="N14" s="29" t="s">
        <v>151</v>
      </c>
      <c r="O14" s="29" t="s">
        <v>38</v>
      </c>
      <c r="P14" s="30">
        <v>0</v>
      </c>
      <c r="Q14" s="31" t="s">
        <v>67</v>
      </c>
      <c r="R14" s="32" t="s">
        <v>72</v>
      </c>
      <c r="S14" s="29" t="s">
        <v>71</v>
      </c>
      <c r="T14" s="32" t="s">
        <v>63</v>
      </c>
      <c r="U14" s="33"/>
    </row>
    <row r="15" spans="1:21" s="2" customFormat="1" ht="15" x14ac:dyDescent="0.2">
      <c r="A15" s="26" t="s">
        <v>145</v>
      </c>
      <c r="B15" s="26" t="s">
        <v>145</v>
      </c>
      <c r="C15" s="26" t="s">
        <v>83</v>
      </c>
      <c r="D15" s="27"/>
      <c r="E15" s="26" t="s">
        <v>82</v>
      </c>
      <c r="F15" s="26"/>
      <c r="G15" s="26" t="s">
        <v>271</v>
      </c>
      <c r="H15" s="26" t="s">
        <v>268</v>
      </c>
      <c r="I15" s="26"/>
      <c r="J15" s="28" t="s">
        <v>14</v>
      </c>
      <c r="K15" s="29">
        <v>10</v>
      </c>
      <c r="L15" s="29"/>
      <c r="M15" s="29" t="s">
        <v>32</v>
      </c>
      <c r="N15" s="29" t="s">
        <v>152</v>
      </c>
      <c r="O15" s="29" t="s">
        <v>38</v>
      </c>
      <c r="P15" s="30">
        <v>0</v>
      </c>
      <c r="Q15" s="31" t="s">
        <v>67</v>
      </c>
      <c r="R15" s="32" t="s">
        <v>72</v>
      </c>
      <c r="S15" s="29" t="s">
        <v>84</v>
      </c>
      <c r="T15" s="32" t="s">
        <v>85</v>
      </c>
      <c r="U15" s="33"/>
    </row>
    <row r="16" spans="1:21" s="2" customFormat="1" ht="15" x14ac:dyDescent="0.2">
      <c r="A16" s="26" t="s">
        <v>155</v>
      </c>
      <c r="B16" s="26" t="s">
        <v>155</v>
      </c>
      <c r="C16" s="26" t="s">
        <v>86</v>
      </c>
      <c r="D16" s="27"/>
      <c r="E16" s="26" t="s">
        <v>82</v>
      </c>
      <c r="F16" s="26"/>
      <c r="G16" s="26" t="s">
        <v>271</v>
      </c>
      <c r="H16" s="26" t="s">
        <v>269</v>
      </c>
      <c r="I16" s="26"/>
      <c r="J16" s="28" t="s">
        <v>14</v>
      </c>
      <c r="K16" s="29">
        <v>10</v>
      </c>
      <c r="L16" s="29"/>
      <c r="M16" s="29" t="s">
        <v>32</v>
      </c>
      <c r="N16" s="29" t="s">
        <v>153</v>
      </c>
      <c r="O16" s="29" t="s">
        <v>38</v>
      </c>
      <c r="P16" s="30">
        <v>0</v>
      </c>
      <c r="Q16" s="31" t="s">
        <v>67</v>
      </c>
      <c r="R16" s="32" t="s">
        <v>72</v>
      </c>
      <c r="S16" s="29" t="s">
        <v>87</v>
      </c>
      <c r="T16" s="32" t="s">
        <v>88</v>
      </c>
      <c r="U16" s="33"/>
    </row>
    <row r="17" spans="1:21" s="2" customFormat="1" ht="15" x14ac:dyDescent="0.2">
      <c r="A17" s="26" t="s">
        <v>282</v>
      </c>
      <c r="B17" s="26" t="s">
        <v>283</v>
      </c>
      <c r="C17" s="26"/>
      <c r="D17" s="27"/>
      <c r="E17" s="26"/>
      <c r="F17" s="26"/>
      <c r="G17" s="26" t="s">
        <v>284</v>
      </c>
      <c r="H17" s="26"/>
      <c r="I17" s="26" t="s">
        <v>285</v>
      </c>
      <c r="J17" s="28" t="s">
        <v>110</v>
      </c>
      <c r="K17" s="29">
        <v>45</v>
      </c>
      <c r="L17" s="29"/>
      <c r="M17" s="29"/>
      <c r="N17" s="29"/>
      <c r="O17" s="29"/>
      <c r="P17" s="30"/>
      <c r="Q17" s="31"/>
      <c r="R17" s="32"/>
      <c r="S17" s="29"/>
      <c r="T17" s="32"/>
      <c r="U17" s="33"/>
    </row>
    <row r="18" spans="1:21" s="2" customFormat="1" ht="15" x14ac:dyDescent="0.2">
      <c r="A18" s="26" t="s">
        <v>272</v>
      </c>
      <c r="B18" s="26" t="s">
        <v>273</v>
      </c>
      <c r="C18" s="26" t="s">
        <v>73</v>
      </c>
      <c r="D18" s="27"/>
      <c r="E18" s="26"/>
      <c r="F18" s="26"/>
      <c r="G18" s="26" t="s">
        <v>273</v>
      </c>
      <c r="H18" s="26"/>
      <c r="I18" s="26"/>
      <c r="J18" s="28" t="s">
        <v>262</v>
      </c>
      <c r="K18" s="29"/>
      <c r="L18" s="29"/>
      <c r="M18" s="29"/>
      <c r="N18" s="29"/>
      <c r="O18" s="29" t="s">
        <v>38</v>
      </c>
      <c r="P18" s="30"/>
      <c r="Q18" s="31"/>
      <c r="R18" s="29"/>
      <c r="S18" s="29"/>
      <c r="T18" s="37"/>
      <c r="U18" s="30"/>
    </row>
    <row r="39" spans="12:12" x14ac:dyDescent="0.2">
      <c r="L39" s="10" t="s">
        <v>58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1_factModel</vt:lpstr>
      <vt:lpstr>ReadMe</vt:lpstr>
      <vt:lpstr>Change Log</vt:lpstr>
      <vt:lpstr>dim_customer</vt:lpstr>
      <vt:lpstr>dim_date</vt:lpstr>
      <vt:lpstr>dim_lens</vt:lpstr>
      <vt:lpstr>dim_store</vt:lpstr>
      <vt:lpstr>fact_sales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James O'Reilly</cp:lastModifiedBy>
  <cp:lastPrinted>2006-08-08T00:44:45Z</cp:lastPrinted>
  <dcterms:created xsi:type="dcterms:W3CDTF">2004-06-03T21:49:10Z</dcterms:created>
  <dcterms:modified xsi:type="dcterms:W3CDTF">2018-06-10T07:02:38Z</dcterms:modified>
</cp:coreProperties>
</file>